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codeName="ThisWorkbook"/>
  <mc:AlternateContent xmlns:mc="http://schemas.openxmlformats.org/markup-compatibility/2006">
    <mc:Choice Requires="x15">
      <x15ac:absPath xmlns:x15ac="http://schemas.microsoft.com/office/spreadsheetml/2010/11/ac" url="/Users/apple/files/"/>
    </mc:Choice>
  </mc:AlternateContent>
  <xr:revisionPtr revIDLastSave="0" documentId="13_ncr:1_{3D595D68-F8FA-6748-88C0-8AFF7FA68AD3}" xr6:coauthVersionLast="47" xr6:coauthVersionMax="47" xr10:uidLastSave="{00000000-0000-0000-0000-000000000000}"/>
  <bookViews>
    <workbookView xWindow="0" yWindow="500" windowWidth="33600" windowHeight="18400" activeTab="8" xr2:uid="{00000000-000D-0000-FFFF-FFFF00000000}"/>
  </bookViews>
  <sheets>
    <sheet name="1月第1周" sheetId="1" r:id="rId1"/>
    <sheet name="1月第2周" sheetId="5" r:id="rId2"/>
    <sheet name="1月第3周" sheetId="6" r:id="rId3"/>
    <sheet name="1月第4周" sheetId="8" r:id="rId4"/>
    <sheet name="1月源数据" sheetId="3" r:id="rId5"/>
    <sheet name="2月第一周" sheetId="11" r:id="rId6"/>
    <sheet name="2月第2周" sheetId="13" r:id="rId7"/>
    <sheet name="2月第3周" sheetId="14" r:id="rId8"/>
    <sheet name="2月源数据" sheetId="12" r:id="rId9"/>
    <sheet name="理财收益表" sheetId="2" r:id="rId10"/>
    <sheet name="收入支出表" sheetId="7" r:id="rId11"/>
    <sheet name="资产负债表" sheetId="4" r:id="rId12"/>
    <sheet name="模板" sheetId="10" r:id="rId13"/>
  </sheets>
  <functionGroups builtInGroupCount="19"/>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25" i="12" l="1"/>
  <c r="D22" i="12"/>
  <c r="H25" i="7"/>
  <c r="E23" i="7"/>
  <c r="E11" i="7"/>
  <c r="E8" i="7"/>
  <c r="J12" i="12"/>
  <c r="P8" i="12"/>
  <c r="D19" i="12"/>
  <c r="E70" i="12"/>
  <c r="D70" i="12"/>
  <c r="C70" i="12"/>
  <c r="E69" i="12"/>
  <c r="D69" i="12"/>
  <c r="C69" i="12"/>
  <c r="E68" i="12"/>
  <c r="D68" i="12"/>
  <c r="E67" i="12"/>
  <c r="D67" i="12"/>
  <c r="C67" i="12"/>
  <c r="E66" i="12"/>
  <c r="D66" i="12"/>
  <c r="C66" i="12"/>
  <c r="E65" i="12"/>
  <c r="D65" i="12"/>
  <c r="C65" i="12"/>
  <c r="E64" i="12"/>
  <c r="D64" i="12"/>
  <c r="C64" i="12"/>
  <c r="E63" i="12"/>
  <c r="D63" i="12"/>
  <c r="C63" i="12"/>
  <c r="E62" i="12"/>
  <c r="D62" i="12"/>
  <c r="C62" i="12"/>
  <c r="E61" i="12"/>
  <c r="D61" i="12"/>
  <c r="C61" i="12"/>
  <c r="E60" i="12"/>
  <c r="D60" i="12"/>
  <c r="C60" i="12"/>
  <c r="E59" i="12"/>
  <c r="D59" i="12"/>
  <c r="C59" i="12"/>
  <c r="E58" i="12"/>
  <c r="D58" i="12"/>
  <c r="C58" i="12"/>
  <c r="E57" i="12"/>
  <c r="D57" i="12"/>
  <c r="C57" i="12"/>
  <c r="E56" i="12"/>
  <c r="D56" i="12"/>
  <c r="C56" i="12"/>
  <c r="E55" i="12"/>
  <c r="D55" i="12"/>
  <c r="C55" i="12"/>
  <c r="N32" i="12"/>
  <c r="Z14" i="12"/>
  <c r="D13" i="12"/>
  <c r="B4" i="12" s="1"/>
  <c r="C4" i="12" s="1"/>
  <c r="Z9" i="12"/>
  <c r="Z8" i="12"/>
  <c r="X7" i="12" s="1"/>
  <c r="N4" i="12"/>
  <c r="O4" i="12" s="1"/>
  <c r="H4" i="12"/>
  <c r="I4" i="12" s="1"/>
  <c r="H236" i="4"/>
  <c r="E235" i="4"/>
  <c r="E218" i="4"/>
  <c r="E222" i="4" s="1"/>
  <c r="E236" i="4" s="1"/>
  <c r="F237" i="4" s="1"/>
  <c r="H213" i="4"/>
  <c r="E213" i="4"/>
  <c r="F214" i="4" s="1"/>
  <c r="E212" i="4"/>
  <c r="E199" i="4"/>
  <c r="H190" i="4"/>
  <c r="E189" i="4"/>
  <c r="E190" i="4" s="1"/>
  <c r="F191" i="4" s="1"/>
  <c r="E176" i="4"/>
  <c r="H167" i="4"/>
  <c r="E166" i="4"/>
  <c r="E167" i="4" s="1"/>
  <c r="F168" i="4" s="1"/>
  <c r="E153" i="4"/>
  <c r="H143" i="4"/>
  <c r="E143" i="4"/>
  <c r="F144" i="4" s="1"/>
  <c r="E142" i="4"/>
  <c r="E129" i="4"/>
  <c r="H119" i="4"/>
  <c r="E118" i="4"/>
  <c r="E119" i="4" s="1"/>
  <c r="F120" i="4" s="1"/>
  <c r="E105" i="4"/>
  <c r="H94" i="4"/>
  <c r="E93" i="4"/>
  <c r="E80" i="4"/>
  <c r="E94" i="4" s="1"/>
  <c r="F95" i="4" s="1"/>
  <c r="H71" i="4"/>
  <c r="E71" i="4"/>
  <c r="F72" i="4" s="1"/>
  <c r="E70" i="4"/>
  <c r="E57" i="4"/>
  <c r="H48" i="4"/>
  <c r="E47" i="4"/>
  <c r="E48" i="4" s="1"/>
  <c r="F49" i="4" s="1"/>
  <c r="E34" i="4"/>
  <c r="H23" i="4"/>
  <c r="E22" i="4"/>
  <c r="E23" i="4" s="1"/>
  <c r="F24" i="4" s="1"/>
  <c r="E9" i="4"/>
  <c r="N70" i="7"/>
  <c r="M70" i="7"/>
  <c r="O69" i="7"/>
  <c r="O68" i="7"/>
  <c r="O67" i="7"/>
  <c r="O66" i="7"/>
  <c r="O65" i="7"/>
  <c r="O64" i="7"/>
  <c r="O63" i="7"/>
  <c r="O62" i="7"/>
  <c r="H52" i="7"/>
  <c r="E50" i="7"/>
  <c r="E51" i="7" s="1"/>
  <c r="E38" i="7"/>
  <c r="E35" i="7"/>
  <c r="E52" i="7" s="1"/>
  <c r="E18" i="2"/>
  <c r="C18" i="2"/>
  <c r="M17" i="2"/>
  <c r="J17" i="2"/>
  <c r="D17" i="2" s="1"/>
  <c r="I17" i="2"/>
  <c r="G17" i="2"/>
  <c r="M16" i="2"/>
  <c r="I16" i="2"/>
  <c r="J16" i="2" s="1"/>
  <c r="D16" i="2" s="1"/>
  <c r="G16" i="2"/>
  <c r="M15" i="2"/>
  <c r="G15" i="2"/>
  <c r="I15" i="2" s="1"/>
  <c r="J15" i="2" s="1"/>
  <c r="D15" i="2" s="1"/>
  <c r="M14" i="2"/>
  <c r="G14" i="2"/>
  <c r="I14" i="2" s="1"/>
  <c r="J14" i="2" s="1"/>
  <c r="D14" i="2" s="1"/>
  <c r="M13" i="2"/>
  <c r="F13" i="2"/>
  <c r="G13" i="2" s="1"/>
  <c r="I13" i="2" s="1"/>
  <c r="J13" i="2" s="1"/>
  <c r="D13" i="2" s="1"/>
  <c r="M12" i="2"/>
  <c r="I12" i="2"/>
  <c r="J12" i="2" s="1"/>
  <c r="D12" i="2" s="1"/>
  <c r="G12" i="2"/>
  <c r="M11" i="2"/>
  <c r="G11" i="2"/>
  <c r="I11" i="2" s="1"/>
  <c r="J11" i="2" s="1"/>
  <c r="D11" i="2" s="1"/>
  <c r="F11" i="2"/>
  <c r="M10" i="2"/>
  <c r="G10" i="2"/>
  <c r="I10" i="2" s="1"/>
  <c r="J10" i="2" s="1"/>
  <c r="D10" i="2" s="1"/>
  <c r="M9" i="2"/>
  <c r="J9" i="2"/>
  <c r="D9" i="2" s="1"/>
  <c r="I9" i="2"/>
  <c r="G9" i="2"/>
  <c r="M8" i="2"/>
  <c r="I8" i="2"/>
  <c r="J8" i="2" s="1"/>
  <c r="D8" i="2" s="1"/>
  <c r="G8" i="2"/>
  <c r="M7" i="2"/>
  <c r="G7" i="2"/>
  <c r="I7" i="2" s="1"/>
  <c r="J7" i="2" s="1"/>
  <c r="D7" i="2" s="1"/>
  <c r="M6" i="2"/>
  <c r="G6" i="2"/>
  <c r="I6" i="2" s="1"/>
  <c r="J6" i="2" s="1"/>
  <c r="D6" i="2" s="1"/>
  <c r="M5" i="2"/>
  <c r="K18" i="2" s="1"/>
  <c r="I5" i="2"/>
  <c r="J5" i="2" s="1"/>
  <c r="D5" i="2" s="1"/>
  <c r="D18" i="2" s="1"/>
  <c r="G5" i="2"/>
  <c r="E70" i="3"/>
  <c r="D70" i="3"/>
  <c r="C70" i="3"/>
  <c r="B70" i="3" s="1"/>
  <c r="E69" i="3"/>
  <c r="D69" i="3"/>
  <c r="B69" i="3" s="1"/>
  <c r="C69" i="3"/>
  <c r="E68" i="3"/>
  <c r="E67" i="3"/>
  <c r="D67" i="3"/>
  <c r="E66" i="3"/>
  <c r="D66" i="3"/>
  <c r="B66" i="3" s="1"/>
  <c r="C66" i="3"/>
  <c r="E65" i="3"/>
  <c r="B65" i="3" s="1"/>
  <c r="D65" i="3"/>
  <c r="C65" i="3"/>
  <c r="E64" i="3"/>
  <c r="D64" i="3"/>
  <c r="C64" i="3"/>
  <c r="B64" i="3" s="1"/>
  <c r="E63" i="3"/>
  <c r="D63" i="3"/>
  <c r="C63" i="3"/>
  <c r="B63" i="3" s="1"/>
  <c r="E62" i="3"/>
  <c r="B62" i="3" s="1"/>
  <c r="D62" i="3"/>
  <c r="C62" i="3"/>
  <c r="E61" i="3"/>
  <c r="D61" i="3"/>
  <c r="C61" i="3"/>
  <c r="B61" i="3" s="1"/>
  <c r="E60" i="3"/>
  <c r="D60" i="3"/>
  <c r="C60" i="3"/>
  <c r="B60" i="3" s="1"/>
  <c r="E59" i="3"/>
  <c r="B59" i="3" s="1"/>
  <c r="D59" i="3"/>
  <c r="C59" i="3"/>
  <c r="E58" i="3"/>
  <c r="D58" i="3"/>
  <c r="C58" i="3"/>
  <c r="B58" i="3" s="1"/>
  <c r="E57" i="3"/>
  <c r="D57" i="3"/>
  <c r="C57" i="3"/>
  <c r="B57" i="3" s="1"/>
  <c r="E56" i="3"/>
  <c r="C56" i="3"/>
  <c r="E55" i="3"/>
  <c r="E71" i="3" s="1"/>
  <c r="D55" i="3"/>
  <c r="C55" i="3"/>
  <c r="B55" i="3" s="1"/>
  <c r="J50" i="3"/>
  <c r="J49" i="3"/>
  <c r="J48" i="3"/>
  <c r="D44" i="3"/>
  <c r="J42" i="3"/>
  <c r="D42" i="3"/>
  <c r="J41" i="3"/>
  <c r="D41" i="3"/>
  <c r="C68" i="3" s="1"/>
  <c r="B68" i="3" s="1"/>
  <c r="D39" i="3"/>
  <c r="D35" i="3"/>
  <c r="J34" i="3"/>
  <c r="D68" i="3" s="1"/>
  <c r="D33" i="3"/>
  <c r="N32" i="3"/>
  <c r="J19" i="3"/>
  <c r="D56" i="3" s="1"/>
  <c r="B56" i="3" s="1"/>
  <c r="D15" i="3"/>
  <c r="C67" i="3" s="1"/>
  <c r="B67" i="3" s="1"/>
  <c r="Z14" i="3"/>
  <c r="Z9" i="3"/>
  <c r="X7" i="3" s="1"/>
  <c r="Z8" i="3"/>
  <c r="N4" i="3"/>
  <c r="O4" i="3" s="1"/>
  <c r="H4" i="3"/>
  <c r="I4" i="3" s="1"/>
  <c r="B52" i="6"/>
  <c r="B53" i="6"/>
  <c r="B54" i="6"/>
  <c r="B55" i="6"/>
  <c r="D55" i="11"/>
  <c r="E54" i="11"/>
  <c r="F53" i="11"/>
  <c r="G52" i="11"/>
  <c r="H51" i="11"/>
  <c r="G55" i="10"/>
  <c r="H54" i="10"/>
  <c r="B54" i="10"/>
  <c r="C53" i="10"/>
  <c r="D52" i="10"/>
  <c r="E51" i="10"/>
  <c r="F55" i="8"/>
  <c r="G54" i="8"/>
  <c r="H53" i="8"/>
  <c r="B53" i="8"/>
  <c r="C52" i="8"/>
  <c r="D51" i="8"/>
  <c r="E55" i="6"/>
  <c r="F54" i="6"/>
  <c r="G53" i="6"/>
  <c r="H52" i="6"/>
  <c r="C51" i="6"/>
  <c r="D55" i="5"/>
  <c r="E54" i="5"/>
  <c r="F53" i="5"/>
  <c r="G52" i="5"/>
  <c r="H51" i="5"/>
  <c r="B51" i="5"/>
  <c r="C55" i="1"/>
  <c r="D54" i="1"/>
  <c r="E53" i="1"/>
  <c r="F52" i="1"/>
  <c r="G51" i="1"/>
  <c r="E54" i="6"/>
  <c r="H51" i="6"/>
  <c r="C55" i="5"/>
  <c r="E53" i="5"/>
  <c r="F52" i="5"/>
  <c r="H55" i="1"/>
  <c r="B55" i="1"/>
  <c r="D53" i="1"/>
  <c r="E52" i="1"/>
  <c r="H55" i="11"/>
  <c r="C54" i="11"/>
  <c r="E52" i="11"/>
  <c r="E55" i="10"/>
  <c r="G53" i="10"/>
  <c r="B52" i="10"/>
  <c r="E54" i="8"/>
  <c r="G52" i="8"/>
  <c r="B51" i="8"/>
  <c r="D54" i="6"/>
  <c r="G51" i="6"/>
  <c r="C54" i="5"/>
  <c r="F51" i="5"/>
  <c r="H54" i="1"/>
  <c r="C53" i="1"/>
  <c r="E51" i="11"/>
  <c r="G52" i="10"/>
  <c r="E53" i="8"/>
  <c r="H55" i="6"/>
  <c r="E52" i="6"/>
  <c r="G55" i="5"/>
  <c r="D52" i="5"/>
  <c r="G54" i="1"/>
  <c r="C52" i="1"/>
  <c r="G55" i="6"/>
  <c r="E51" i="6"/>
  <c r="D51" i="5"/>
  <c r="C51" i="1"/>
  <c r="B52" i="5"/>
  <c r="H51" i="1"/>
  <c r="C55" i="11"/>
  <c r="D54" i="11"/>
  <c r="E53" i="11"/>
  <c r="F52" i="11"/>
  <c r="G51" i="11"/>
  <c r="F55" i="10"/>
  <c r="G54" i="10"/>
  <c r="H53" i="10"/>
  <c r="B53" i="10"/>
  <c r="C52" i="10"/>
  <c r="D51" i="10"/>
  <c r="E55" i="8"/>
  <c r="F54" i="8"/>
  <c r="G53" i="8"/>
  <c r="H52" i="8"/>
  <c r="B52" i="8"/>
  <c r="C51" i="8"/>
  <c r="D55" i="6"/>
  <c r="F53" i="6"/>
  <c r="G52" i="6"/>
  <c r="B51" i="6"/>
  <c r="D54" i="5"/>
  <c r="G51" i="5"/>
  <c r="C54" i="1"/>
  <c r="F51" i="1"/>
  <c r="B55" i="11"/>
  <c r="D53" i="11"/>
  <c r="F51" i="11"/>
  <c r="F54" i="10"/>
  <c r="H52" i="10"/>
  <c r="D55" i="8"/>
  <c r="F53" i="8"/>
  <c r="H51" i="8"/>
  <c r="C55" i="6"/>
  <c r="E53" i="6"/>
  <c r="F52" i="6"/>
  <c r="H55" i="5"/>
  <c r="B55" i="5"/>
  <c r="D53" i="5"/>
  <c r="E52" i="5"/>
  <c r="G55" i="1"/>
  <c r="B54" i="1"/>
  <c r="D52" i="1"/>
  <c r="C53" i="11"/>
  <c r="E54" i="10"/>
  <c r="B51" i="10"/>
  <c r="F52" i="8"/>
  <c r="C54" i="6"/>
  <c r="F51" i="6"/>
  <c r="B54" i="5"/>
  <c r="F55" i="1"/>
  <c r="D51" i="1"/>
  <c r="H54" i="6"/>
  <c r="H53" i="5"/>
  <c r="E55" i="1"/>
  <c r="B52" i="1"/>
  <c r="G53" i="5"/>
  <c r="G52" i="1"/>
  <c r="C51" i="10"/>
  <c r="E51" i="1"/>
  <c r="D54" i="8"/>
  <c r="D53" i="6"/>
  <c r="H54" i="5"/>
  <c r="E51" i="5"/>
  <c r="H53" i="1"/>
  <c r="F51" i="8"/>
  <c r="D52" i="6"/>
  <c r="C52" i="5"/>
  <c r="H52" i="1"/>
  <c r="D51" i="6"/>
  <c r="E54" i="1"/>
  <c r="G55" i="11"/>
  <c r="H54" i="11"/>
  <c r="B54" i="11"/>
  <c r="D52" i="11"/>
  <c r="D55" i="10"/>
  <c r="F53" i="10"/>
  <c r="H51" i="10"/>
  <c r="C55" i="8"/>
  <c r="G51" i="8"/>
  <c r="C53" i="5"/>
  <c r="B53" i="1"/>
  <c r="C53" i="6"/>
  <c r="F55" i="5"/>
  <c r="B53" i="5"/>
  <c r="F54" i="1"/>
  <c r="E55" i="5"/>
  <c r="C51" i="5"/>
  <c r="F55" i="11"/>
  <c r="G54" i="11"/>
  <c r="H53" i="11"/>
  <c r="B53" i="11"/>
  <c r="C52" i="11"/>
  <c r="D51" i="11"/>
  <c r="C55" i="10"/>
  <c r="D54" i="10"/>
  <c r="E53" i="10"/>
  <c r="F52" i="10"/>
  <c r="G51" i="10"/>
  <c r="H55" i="8"/>
  <c r="B55" i="8"/>
  <c r="C54" i="8"/>
  <c r="D53" i="8"/>
  <c r="E52" i="8"/>
  <c r="G54" i="5"/>
  <c r="G53" i="1"/>
  <c r="H52" i="5"/>
  <c r="F53" i="1"/>
  <c r="B51" i="11"/>
  <c r="E55" i="11"/>
  <c r="F54" i="11"/>
  <c r="G53" i="11"/>
  <c r="H52" i="11"/>
  <c r="B52" i="11"/>
  <c r="C51" i="11"/>
  <c r="H55" i="10"/>
  <c r="B55" i="10"/>
  <c r="C54" i="10"/>
  <c r="D53" i="10"/>
  <c r="E52" i="10"/>
  <c r="F51" i="10"/>
  <c r="G55" i="8"/>
  <c r="H54" i="8"/>
  <c r="B54" i="8"/>
  <c r="C53" i="8"/>
  <c r="D52" i="8"/>
  <c r="E51" i="8"/>
  <c r="F55" i="6"/>
  <c r="G54" i="6"/>
  <c r="H53" i="6"/>
  <c r="C52" i="6"/>
  <c r="F54" i="5"/>
  <c r="D55" i="1"/>
  <c r="B51" i="1"/>
  <c r="H52" i="13"/>
  <c r="H53" i="13"/>
  <c r="H54" i="13"/>
  <c r="H55" i="13"/>
  <c r="C54" i="13"/>
  <c r="B54" i="13"/>
  <c r="D52" i="13"/>
  <c r="F51" i="13"/>
  <c r="F54" i="13"/>
  <c r="E52" i="13"/>
  <c r="B51" i="13"/>
  <c r="D55" i="13"/>
  <c r="E51" i="13"/>
  <c r="D51" i="13"/>
  <c r="F55" i="13"/>
  <c r="C52" i="13"/>
  <c r="B53" i="13"/>
  <c r="B52" i="13"/>
  <c r="D54" i="13"/>
  <c r="F52" i="13"/>
  <c r="E53" i="13"/>
  <c r="E54" i="13"/>
  <c r="B55" i="13"/>
  <c r="F53" i="13"/>
  <c r="C51" i="13"/>
  <c r="D53" i="13"/>
  <c r="E55" i="13"/>
  <c r="C53" i="13"/>
  <c r="C55" i="13"/>
  <c r="H51" i="13"/>
  <c r="G54" i="13"/>
  <c r="G51" i="13"/>
  <c r="G53" i="13"/>
  <c r="G55" i="13"/>
  <c r="G52" i="13"/>
  <c r="F52" i="14"/>
  <c r="F51" i="14"/>
  <c r="E51" i="14"/>
  <c r="F55" i="14"/>
  <c r="G54" i="14"/>
  <c r="G55" i="14"/>
  <c r="E54" i="14"/>
  <c r="H52" i="14"/>
  <c r="F54" i="14"/>
  <c r="F53" i="14"/>
  <c r="H53" i="14"/>
  <c r="H51" i="14"/>
  <c r="G52" i="14"/>
  <c r="E55" i="14"/>
  <c r="E53" i="14"/>
  <c r="H54" i="14"/>
  <c r="G51" i="14"/>
  <c r="E52" i="14"/>
  <c r="H55" i="14"/>
  <c r="G53" i="14"/>
  <c r="B51" i="14"/>
  <c r="B52" i="14"/>
  <c r="B55" i="14"/>
  <c r="B53" i="14"/>
  <c r="B54" i="14"/>
  <c r="D52" i="14"/>
  <c r="D55" i="14"/>
  <c r="D51" i="14"/>
  <c r="D54" i="14"/>
  <c r="D53" i="14"/>
  <c r="C51" i="14"/>
  <c r="C55" i="14"/>
  <c r="C53" i="14"/>
  <c r="C54" i="14"/>
  <c r="C52" i="14"/>
  <c r="F56" i="14" l="1"/>
  <c r="E60" i="14"/>
  <c r="E61" i="14" s="1"/>
  <c r="G56" i="14"/>
  <c r="D60" i="14"/>
  <c r="D61" i="14" s="1"/>
  <c r="D56" i="14"/>
  <c r="H56" i="14"/>
  <c r="C60" i="14"/>
  <c r="C61" i="14" s="1"/>
  <c r="B56" i="14"/>
  <c r="A60" i="14"/>
  <c r="A61" i="14" s="1"/>
  <c r="C56" i="14"/>
  <c r="E56" i="14"/>
  <c r="B60" i="14"/>
  <c r="B61" i="14" s="1"/>
  <c r="H56" i="13"/>
  <c r="C56" i="13"/>
  <c r="G56" i="13"/>
  <c r="B56" i="13"/>
  <c r="A60" i="13"/>
  <c r="A61" i="13" s="1"/>
  <c r="B60" i="13"/>
  <c r="B61" i="13" s="1"/>
  <c r="D56" i="13"/>
  <c r="C60" i="13"/>
  <c r="C61" i="13" s="1"/>
  <c r="E56" i="13"/>
  <c r="D60" i="13"/>
  <c r="D61" i="13" s="1"/>
  <c r="F56" i="13"/>
  <c r="E60" i="13"/>
  <c r="E61" i="13" s="1"/>
  <c r="B56" i="6"/>
  <c r="A60" i="1"/>
  <c r="A61" i="1" s="1"/>
  <c r="E56" i="8"/>
  <c r="D60" i="8"/>
  <c r="D61" i="8" s="1"/>
  <c r="F56" i="10"/>
  <c r="E60" i="10"/>
  <c r="E61" i="10" s="1"/>
  <c r="C56" i="11"/>
  <c r="B60" i="11"/>
  <c r="B61" i="11" s="1"/>
  <c r="A60" i="11"/>
  <c r="A61" i="11" s="1"/>
  <c r="E60" i="8"/>
  <c r="E61" i="8" s="1"/>
  <c r="G56" i="10"/>
  <c r="D56" i="11"/>
  <c r="C60" i="11"/>
  <c r="C61" i="11" s="1"/>
  <c r="C56" i="5"/>
  <c r="C60" i="5"/>
  <c r="C61" i="5" s="1"/>
  <c r="C60" i="1"/>
  <c r="C61" i="1" s="1"/>
  <c r="G56" i="8"/>
  <c r="H56" i="10"/>
  <c r="D60" i="11"/>
  <c r="D61" i="11" s="1"/>
  <c r="E60" i="6"/>
  <c r="E61" i="6" s="1"/>
  <c r="D56" i="6"/>
  <c r="F56" i="8"/>
  <c r="E56" i="5"/>
  <c r="E56" i="1"/>
  <c r="C56" i="10"/>
  <c r="B60" i="1"/>
  <c r="B61" i="1" s="1"/>
  <c r="D56" i="1"/>
  <c r="D60" i="5"/>
  <c r="D61" i="5" s="1"/>
  <c r="F56" i="6"/>
  <c r="A60" i="10"/>
  <c r="A61" i="10" s="1"/>
  <c r="D60" i="1"/>
  <c r="D61" i="1" s="1"/>
  <c r="E60" i="5"/>
  <c r="E61" i="5" s="1"/>
  <c r="H56" i="8"/>
  <c r="F56" i="11"/>
  <c r="E60" i="11"/>
  <c r="E61" i="11" s="1"/>
  <c r="D60" i="6"/>
  <c r="D61" i="6" s="1"/>
  <c r="F56" i="1"/>
  <c r="G56" i="5"/>
  <c r="A60" i="6"/>
  <c r="A61" i="6" s="1"/>
  <c r="C56" i="8"/>
  <c r="B60" i="8"/>
  <c r="B61" i="8" s="1"/>
  <c r="D56" i="10"/>
  <c r="C60" i="10"/>
  <c r="C61" i="10" s="1"/>
  <c r="G56" i="11"/>
  <c r="C60" i="6"/>
  <c r="C61" i="6" s="1"/>
  <c r="H56" i="1"/>
  <c r="B60" i="5"/>
  <c r="B61" i="5" s="1"/>
  <c r="C56" i="1"/>
  <c r="D56" i="5"/>
  <c r="E56" i="6"/>
  <c r="E56" i="11"/>
  <c r="F56" i="5"/>
  <c r="G56" i="6"/>
  <c r="B56" i="8"/>
  <c r="F60" i="8" s="1"/>
  <c r="B60" i="10"/>
  <c r="B61" i="10" s="1"/>
  <c r="E60" i="1"/>
  <c r="E61" i="1" s="1"/>
  <c r="H56" i="6"/>
  <c r="G56" i="1"/>
  <c r="A60" i="5"/>
  <c r="A61" i="5" s="1"/>
  <c r="H56" i="5"/>
  <c r="C56" i="6"/>
  <c r="F60" i="6" s="1"/>
  <c r="D56" i="8"/>
  <c r="C60" i="8"/>
  <c r="C61" i="8" s="1"/>
  <c r="E56" i="10"/>
  <c r="D60" i="10"/>
  <c r="D61" i="10" s="1"/>
  <c r="H56" i="11"/>
  <c r="B60" i="6"/>
  <c r="B61" i="6" s="1"/>
  <c r="E25" i="7"/>
  <c r="F26" i="7" s="1"/>
  <c r="E24" i="7"/>
  <c r="O70" i="7"/>
  <c r="F53" i="7"/>
  <c r="B64" i="12"/>
  <c r="B66" i="12"/>
  <c r="E71" i="12"/>
  <c r="B69" i="12"/>
  <c r="B55" i="12"/>
  <c r="B57" i="12"/>
  <c r="B61" i="12"/>
  <c r="B63" i="12"/>
  <c r="B65" i="12"/>
  <c r="B67" i="12"/>
  <c r="B56" i="12"/>
  <c r="B58" i="12"/>
  <c r="B62" i="12"/>
  <c r="B59" i="12"/>
  <c r="D71" i="12"/>
  <c r="B70" i="12"/>
  <c r="B60" i="12"/>
  <c r="B56" i="1"/>
  <c r="B56" i="10"/>
  <c r="F60" i="10" s="1"/>
  <c r="B71" i="3"/>
  <c r="D71" i="3"/>
  <c r="C71" i="3"/>
  <c r="A60" i="8"/>
  <c r="A61" i="8" s="1"/>
  <c r="B4" i="3"/>
  <c r="C4" i="3" s="1"/>
  <c r="B56" i="5"/>
  <c r="F60" i="5" s="1"/>
  <c r="C68" i="12"/>
  <c r="B68" i="12" s="1"/>
  <c r="B56" i="11"/>
  <c r="F60" i="14" l="1"/>
  <c r="F60" i="13"/>
  <c r="F60" i="1"/>
  <c r="F60" i="11"/>
  <c r="B71" i="12"/>
  <c r="C71" i="12"/>
</calcChain>
</file>

<file path=xl/sharedStrings.xml><?xml version="1.0" encoding="utf-8"?>
<sst xmlns="http://schemas.openxmlformats.org/spreadsheetml/2006/main" count="2189" uniqueCount="579">
  <si>
    <t>周一</t>
  </si>
  <si>
    <t>周二</t>
  </si>
  <si>
    <t>周三</t>
  </si>
  <si>
    <t>周四</t>
  </si>
  <si>
    <t>周五</t>
  </si>
  <si>
    <t>周六</t>
  </si>
  <si>
    <t>周日</t>
  </si>
  <si>
    <t>本周学习到的技能&amp;工作经验</t>
  </si>
  <si>
    <t>4:30-5:00</t>
  </si>
  <si>
    <t>休息时间</t>
  </si>
  <si>
    <t>1、完成《基金业务》&amp;《私募》、B站北大投资课程内容</t>
  </si>
  <si>
    <t>5:00-5:30</t>
  </si>
  <si>
    <t>2、完成B站爬虫课程</t>
  </si>
  <si>
    <t>6:00-6:30</t>
  </si>
  <si>
    <t>7:00-7:30</t>
  </si>
  <si>
    <t>阅读《基金业务》</t>
  </si>
  <si>
    <t>运动</t>
  </si>
  <si>
    <t>本周看的电影&amp;剧集</t>
  </si>
  <si>
    <t>8:00-8:30</t>
  </si>
  <si>
    <t>制作便当</t>
  </si>
  <si>
    <t>1、旅途中找一部记录片</t>
  </si>
  <si>
    <t>早餐&amp;洗漱</t>
  </si>
  <si>
    <t>洗漱&amp;早餐</t>
  </si>
  <si>
    <t>9:00-9:30</t>
  </si>
  <si>
    <t>上班&amp;新闻</t>
  </si>
  <si>
    <t>培训内容</t>
  </si>
  <si>
    <t>计算公式的整理</t>
  </si>
  <si>
    <t>部门内述职</t>
  </si>
  <si>
    <t>10:00-10:30</t>
  </si>
  <si>
    <t>本周读的书&amp;文章</t>
  </si>
  <si>
    <t>1、电子书《事实》完成阅读</t>
  </si>
  <si>
    <t>11:00-11:30</t>
  </si>
  <si>
    <t>2、开始阅读《万历十五年》</t>
  </si>
  <si>
    <t>午间ktv时间</t>
  </si>
  <si>
    <t>12:00-12:30</t>
  </si>
  <si>
    <t>午饭</t>
  </si>
  <si>
    <t>看知乎</t>
  </si>
  <si>
    <t>13:00-13:30</t>
  </si>
  <si>
    <t>阅读《事实》</t>
  </si>
  <si>
    <t>午休</t>
  </si>
  <si>
    <t>14:00-14:30</t>
  </si>
  <si>
    <t>PRD 整理&amp;数据字段核实</t>
  </si>
  <si>
    <t>本周最有意义的5件事情</t>
  </si>
  <si>
    <t>字段内部核对&amp;ppt内容资料&amp;述职模板</t>
  </si>
  <si>
    <t>15:00-15:30</t>
  </si>
  <si>
    <t>16:00-16:30</t>
  </si>
  <si>
    <t>17:00-17:30</t>
  </si>
  <si>
    <t>18:00-18:30</t>
  </si>
  <si>
    <t>下班&amp;新闻</t>
  </si>
  <si>
    <t>便当&amp;运动</t>
  </si>
  <si>
    <t>19:00-19:30</t>
  </si>
  <si>
    <t>看抖音浪费时间</t>
  </si>
  <si>
    <t>学习</t>
  </si>
  <si>
    <t>20:00-20:30</t>
  </si>
  <si>
    <t>本周最傻的3件事</t>
  </si>
  <si>
    <t>21:00-21:30</t>
  </si>
  <si>
    <t>22:00-22:30</t>
  </si>
  <si>
    <t>逐字稿&amp;CPA考试</t>
  </si>
  <si>
    <t>撰写2022年计划</t>
  </si>
  <si>
    <t>洗漱&amp;阅读</t>
  </si>
  <si>
    <t>23:00-23:30</t>
  </si>
  <si>
    <t>休闲时间</t>
  </si>
  <si>
    <t>24:00-00:30</t>
  </si>
  <si>
    <t>01:00-01:30</t>
  </si>
  <si>
    <t>02:00-02:30</t>
  </si>
  <si>
    <t>本周的社交安排</t>
  </si>
  <si>
    <t>03:00-03:30</t>
  </si>
  <si>
    <t>04:00-04:30</t>
  </si>
  <si>
    <t>高效娱乐时间</t>
  </si>
  <si>
    <t>本周的健身计划：</t>
  </si>
  <si>
    <t>1、保持每天至少30mins的有氧运动量</t>
  </si>
  <si>
    <t>工作时间</t>
  </si>
  <si>
    <t>无用时间</t>
  </si>
  <si>
    <t>自我学习时间</t>
  </si>
  <si>
    <t>合计</t>
  </si>
  <si>
    <t>学习工作时间</t>
  </si>
  <si>
    <t>拖延时间
&amp;无用时间</t>
  </si>
  <si>
    <t>GRE学习时间</t>
  </si>
  <si>
    <t>合计时间</t>
  </si>
  <si>
    <t>记得沟通酒店，预定下周一的酒店住房</t>
  </si>
  <si>
    <t>3、德州扑克玩法&amp;技巧</t>
  </si>
  <si>
    <t>阅读</t>
  </si>
  <si>
    <t>早餐</t>
  </si>
  <si>
    <t>1、《万箭穿心》</t>
  </si>
  <si>
    <t>与朋友见面</t>
  </si>
  <si>
    <t>早餐&amp;运动</t>
  </si>
  <si>
    <t>早餐&amp;新闻</t>
  </si>
  <si>
    <t>2、《恐怖直播》</t>
  </si>
  <si>
    <t>3、《超脱》</t>
  </si>
  <si>
    <t>研究报告相关需求</t>
  </si>
  <si>
    <t>4、《hello树先生》</t>
  </si>
  <si>
    <t>午饭时间</t>
  </si>
  <si>
    <t>上海-北京</t>
  </si>
  <si>
    <t>报告沟通&amp;量化需求梳理</t>
  </si>
  <si>
    <t>核酸&amp;工作</t>
  </si>
  <si>
    <t>1、意识到自己在职场中的沟通问题，想办法不断的优化自己</t>
  </si>
  <si>
    <t>2、你需要意识到你此前跟苏老师关于懂和不懂的讨论是非常具有警示性的，因为自认为不懂，但是也不愿意学习</t>
  </si>
  <si>
    <t>觉得很困难，所以才会不断的敏感又尖刻，任何别人说的一句话都可能成为你自己对自己的刺刀，相反这个会让你</t>
  </si>
  <si>
    <t>的沟通更加的不顺畅，为了解决这个问题，你首先要做的事情就是了解计算机，了解代码，了解你在做的工作和面对</t>
  </si>
  <si>
    <t xml:space="preserve"> 的人群，彻底的放松自己，不要时刻树立着尖刺的，想做什么就去做，不要后悔也不要看轻自己，很多事情其实只是</t>
  </si>
  <si>
    <t>那一瞬间的困难，况且困难对你而言有什么可怕的呢？为什么不去打败他。</t>
  </si>
  <si>
    <t>3、靠研，特别是以自己现在的状态真的是很难的，所以不妨去了解一下培训机构，不妨去更加充实的收集各类资料</t>
  </si>
  <si>
    <t>不妨通过3个月减肥到94来给与自己更多自信，不妨从每天早起来给自己更多能量，不妨从每天的进步，每次考试的成功</t>
  </si>
  <si>
    <t>音乐&amp;休闲</t>
  </si>
  <si>
    <t>来给自己更多的自信和动力，千万不要停留，不管有多难，一定要坚持，要坚持！要坚持！</t>
  </si>
  <si>
    <t>整理表格</t>
  </si>
  <si>
    <t>阅读&amp;计划</t>
  </si>
  <si>
    <t>GRE学习</t>
  </si>
  <si>
    <t>其余</t>
  </si>
  <si>
    <t>上海之行计划：提前购买机票</t>
  </si>
  <si>
    <t>新闻&amp;上班</t>
  </si>
  <si>
    <t>报告公式确立</t>
  </si>
  <si>
    <t>沟通量化相关需求</t>
  </si>
  <si>
    <t>汉服购买&amp;表格整理</t>
  </si>
  <si>
    <t>1、《投资银行》</t>
  </si>
  <si>
    <t>2、《突围》</t>
  </si>
  <si>
    <t>看一年一度喜剧大赛</t>
  </si>
  <si>
    <t>午休时间</t>
  </si>
  <si>
    <t>报告字段沟通</t>
  </si>
  <si>
    <t>调整报告字段&amp;整合报告部分字段</t>
  </si>
  <si>
    <t>购买汉服</t>
  </si>
  <si>
    <t>学习时间</t>
  </si>
  <si>
    <t>洗漱</t>
  </si>
  <si>
    <t>本周的健身计划</t>
  </si>
  <si>
    <t>查看淘宝</t>
  </si>
  <si>
    <t>上班</t>
  </si>
  <si>
    <t>量化部分需求评讲</t>
  </si>
  <si>
    <t>excel技巧学习&amp;表格行程整理</t>
  </si>
  <si>
    <t>表格整理
&amp;竞品分析</t>
  </si>
  <si>
    <t>撰写报告</t>
  </si>
  <si>
    <t>拿报告</t>
  </si>
  <si>
    <t>模拟练习</t>
  </si>
  <si>
    <t>查看游戏手柄情况</t>
  </si>
  <si>
    <t>核酸测试</t>
  </si>
  <si>
    <t>染头发</t>
  </si>
  <si>
    <t>需求讨论</t>
  </si>
  <si>
    <t>整理述职内容</t>
  </si>
  <si>
    <t>行程单撰写&amp;量化需求讨论</t>
  </si>
  <si>
    <t>量化需求&amp;绩效打分
工作汇报</t>
  </si>
  <si>
    <t>述职</t>
  </si>
  <si>
    <t>整理房间&amp;钻孔</t>
  </si>
  <si>
    <t>购物</t>
  </si>
  <si>
    <t>看一年一度</t>
  </si>
  <si>
    <t>整理行李箱</t>
  </si>
  <si>
    <t>晚饭</t>
  </si>
  <si>
    <t>尝试手柄</t>
  </si>
  <si>
    <t>房间打扫&amp;整理&amp;购买清单</t>
  </si>
  <si>
    <t>研究家庭全年经济计划</t>
  </si>
  <si>
    <t>查看VR设备</t>
  </si>
  <si>
    <t>洗澡</t>
  </si>
  <si>
    <t>看视频</t>
  </si>
  <si>
    <t>1/27号 周四 12：25-15：40 桂林两江  行程（晚饭+购买电线+花鸟市场绿植+瓶子）</t>
  </si>
  <si>
    <t>1/28号 周五     安装电线+制作过年采购菜单 购买绿植+春联+吊灯 下午：看房*3+年前食材等</t>
  </si>
  <si>
    <t>1/29号 大年27   安装电视架+帘子+收拾  安装木板+丢弃沙发+粉刷洗手间+清洗地板+整理房间杂物，设置门牌</t>
  </si>
  <si>
    <t>1/30 大年28     拍摄&amp;冲印全家福照片    继续装修打扫</t>
  </si>
  <si>
    <t>1/31 大年30     购买新鲜食材+过年</t>
  </si>
  <si>
    <t xml:space="preserve">2/1  大年初一   写给爸爸的一封信&amp;礼物   确定医疗方案   </t>
  </si>
  <si>
    <t>2/2  大年初二   12：36-14：02 到永州    排练歌曲（打印歌词单）+烤箱蛋挞+泡芙+烤鸡+烤排骨</t>
  </si>
  <si>
    <t>2/3  大年初三   汉服全家福+舞蹈练习+走位+晚间联欢晚会 （礼花+彩灯+大场地+话筒）</t>
  </si>
  <si>
    <t xml:space="preserve"> 固定歌曲开场+小品+小游戏&amp;发红包+个人讲话+才艺+小游戏&amp;红包大赛+欢乐大合唱</t>
  </si>
  <si>
    <t>2/4  大年初四   全家出游（舜皇山/九嶷山一日游）</t>
  </si>
  <si>
    <t>2/5  大年初五   同学+亲戚剧本杀         汉服出游</t>
  </si>
  <si>
    <t>2/6  大年初六   写给老妈的一封信&amp;礼物    17：40-20：15 大兴机场</t>
  </si>
  <si>
    <t>行李单：</t>
  </si>
  <si>
    <t>电器包：U盘（小鸡模拟器、当贝快传）、三脚架（快门线）、相机充电线、相机、充电器、 电脑（充电头&amp;线）、c口转换器、公司三转一充电线、kindle、手机、唱吧话筒</t>
  </si>
  <si>
    <t>日化包：护发素、（本地加购凡士林润肤露）、口红、唇膏、牙齿牵引线、护发精油、（加购蒸气发膜）蒸汽眼罩、自备牙刷、湿纸巾、纸巾、（加购洗脸巾）、面膜、香水、炸头发的细皮筋、夹子、耳环、维生素C、眼睫毛、</t>
  </si>
  <si>
    <t>飞机行李包:眼罩、kindle、有线降噪耳机、一次性拖鞋/球鞋（if）、</t>
  </si>
  <si>
    <t>学习文具包：4张行李单、钢笔、字帖纸、行程本、</t>
  </si>
  <si>
    <t>衣物等其他：汉服、白色羽绒衣（加帽子）、红色毛衣、保暖衣一套、宽松裤子、白球鞋、 打底裤、百褶裙、牛津鞋、白色毛衣</t>
  </si>
  <si>
    <t>年货：车厘子、草莓、牛筋、费列罗、蛋挞、灌装奶油、纸杯、香芋奶茶、芋圆、携带星星棒等烟花、礼花筒、彩纸屑、彩灯、蔡家家族族徽&amp;横幅</t>
  </si>
  <si>
    <t>购买清单：</t>
  </si>
  <si>
    <t>食材：豆腐、猪肉、鱼、牛肉、青辣椒、小红椒、冬瓜、干香菇、玉米</t>
  </si>
  <si>
    <t>其他：线板、插座盒子、手套、洗洁精、镜子、吊灯、全家福、蛋糕、</t>
  </si>
  <si>
    <t>微信支付记录</t>
  </si>
  <si>
    <t>信用卡支付记录</t>
  </si>
  <si>
    <t>银行卡支付记录</t>
  </si>
  <si>
    <t>总收入</t>
  </si>
  <si>
    <t>总花销</t>
  </si>
  <si>
    <t>总结余</t>
  </si>
  <si>
    <t>日期</t>
  </si>
  <si>
    <t>支出</t>
  </si>
  <si>
    <t>备注</t>
  </si>
  <si>
    <t>类别</t>
  </si>
  <si>
    <t>名录</t>
  </si>
  <si>
    <t>北大口腔就诊记录</t>
  </si>
  <si>
    <t>分类</t>
  </si>
  <si>
    <t>分类明细</t>
  </si>
  <si>
    <t>金额</t>
  </si>
  <si>
    <t>日常消费</t>
  </si>
  <si>
    <t>食物</t>
  </si>
  <si>
    <t>时间</t>
  </si>
  <si>
    <t>项目</t>
  </si>
  <si>
    <t>费用</t>
  </si>
  <si>
    <t>下次预定</t>
  </si>
  <si>
    <t>妆服费</t>
  </si>
  <si>
    <t>日用品</t>
  </si>
  <si>
    <t>洗发水、沐浴露等</t>
  </si>
  <si>
    <t>蜡烛</t>
  </si>
  <si>
    <t>合计费用</t>
  </si>
  <si>
    <t>买菜</t>
  </si>
  <si>
    <t>鲜花1/3</t>
  </si>
  <si>
    <t>其他</t>
  </si>
  <si>
    <t>给老妈买车票</t>
  </si>
  <si>
    <t>衣物</t>
  </si>
  <si>
    <t>取模、拍照</t>
  </si>
  <si>
    <t>下次携带洗牙说明</t>
  </si>
  <si>
    <t>会员</t>
  </si>
  <si>
    <t>QQ会员</t>
  </si>
  <si>
    <t>有璟阁早餐</t>
  </si>
  <si>
    <t>10%方案费用</t>
  </si>
  <si>
    <t>随身携带牙刷牙膏。先拔牙</t>
  </si>
  <si>
    <t>交通</t>
  </si>
  <si>
    <t>交际</t>
  </si>
  <si>
    <t>礼物</t>
  </si>
  <si>
    <t>现金红包</t>
  </si>
  <si>
    <t>书籍</t>
  </si>
  <si>
    <t>拔牙费用</t>
  </si>
  <si>
    <t>拔牙</t>
  </si>
  <si>
    <t>地铁卡</t>
  </si>
  <si>
    <t>发热眼罩</t>
  </si>
  <si>
    <t>红包</t>
  </si>
  <si>
    <t>培训</t>
  </si>
  <si>
    <t>聚餐</t>
  </si>
  <si>
    <t>和平饭店</t>
  </si>
  <si>
    <t>考试</t>
  </si>
  <si>
    <t>正畸上贴片</t>
  </si>
  <si>
    <t>ktv</t>
  </si>
  <si>
    <t>医疗</t>
  </si>
  <si>
    <t>正畸</t>
  </si>
  <si>
    <t>上皮筋</t>
  </si>
  <si>
    <t>常规医疗</t>
  </si>
  <si>
    <t>皮筋</t>
  </si>
  <si>
    <t>12月or1月</t>
  </si>
  <si>
    <t>上海之行打车</t>
  </si>
  <si>
    <t>甜品</t>
  </si>
  <si>
    <t>房租水电</t>
  </si>
  <si>
    <t>房租</t>
  </si>
  <si>
    <t>核酸</t>
  </si>
  <si>
    <t>周五午餐</t>
  </si>
  <si>
    <t>水电气费</t>
  </si>
  <si>
    <t>回家打车</t>
  </si>
  <si>
    <t>话费</t>
  </si>
  <si>
    <t>牙刷等</t>
  </si>
  <si>
    <t>馄饨&amp;牙刷等</t>
  </si>
  <si>
    <t>鲜花</t>
  </si>
  <si>
    <t>调整款</t>
  </si>
  <si>
    <t>上海打车</t>
  </si>
  <si>
    <t>ktv娱乐</t>
  </si>
  <si>
    <t>年货款</t>
  </si>
  <si>
    <t>红色毛衣</t>
  </si>
  <si>
    <t>汉服礼物</t>
  </si>
  <si>
    <t>总计</t>
  </si>
  <si>
    <t>老爸装修材料</t>
  </si>
  <si>
    <t>车卡</t>
  </si>
  <si>
    <t>取暖器</t>
  </si>
  <si>
    <t>钗</t>
  </si>
  <si>
    <t>快递费用</t>
  </si>
  <si>
    <t>樱桃</t>
  </si>
  <si>
    <t>小吃</t>
  </si>
  <si>
    <t>染发剂</t>
  </si>
  <si>
    <t>保暖衣</t>
  </si>
  <si>
    <t>过年电线材料等</t>
  </si>
  <si>
    <t>灯</t>
  </si>
  <si>
    <t>香薰</t>
  </si>
  <si>
    <t>过年发红包</t>
  </si>
  <si>
    <t>超市购买牛奶等</t>
  </si>
  <si>
    <t>收红包</t>
  </si>
  <si>
    <t>KTV食物</t>
  </si>
  <si>
    <t>超市</t>
  </si>
  <si>
    <t>微信计总</t>
  </si>
  <si>
    <t>浦发计总</t>
  </si>
  <si>
    <t>银行计总</t>
  </si>
  <si>
    <t>理财名称</t>
  </si>
  <si>
    <t>最新持有资金</t>
  </si>
  <si>
    <t>总收益率</t>
  </si>
  <si>
    <t>持有资金</t>
  </si>
  <si>
    <t>投入资金</t>
  </si>
  <si>
    <t>月初资产</t>
  </si>
  <si>
    <t>月末资产</t>
  </si>
  <si>
    <t>本月净收入</t>
  </si>
  <si>
    <t>本月收益率</t>
  </si>
  <si>
    <t>招商银行理财产品</t>
  </si>
  <si>
    <t>固收类</t>
  </si>
  <si>
    <t>京东金融银行精选</t>
  </si>
  <si>
    <t>招商银行基金</t>
  </si>
  <si>
    <t>成长类</t>
  </si>
  <si>
    <t>摩羯智投</t>
  </si>
  <si>
    <t>招商银行黄金</t>
  </si>
  <si>
    <t>穿越牛熊组合</t>
  </si>
  <si>
    <t>京东金融基金</t>
  </si>
  <si>
    <t>京东基金投顾</t>
  </si>
  <si>
    <t>京东智投</t>
  </si>
  <si>
    <t>支付宝帮我投</t>
  </si>
  <si>
    <t>支付宝理财产品</t>
  </si>
  <si>
    <t>南方基金智投</t>
  </si>
  <si>
    <t>理财魔方智投</t>
  </si>
  <si>
    <r>
      <rPr>
        <b/>
        <sz val="22"/>
        <color rgb="FF000000"/>
        <rFont val="仿宋"/>
        <family val="3"/>
        <charset val="134"/>
      </rPr>
      <t xml:space="preserve">收入支出表
</t>
    </r>
    <r>
      <rPr>
        <sz val="10"/>
        <color rgb="FF000000"/>
        <rFont val="仿宋"/>
        <family val="3"/>
        <charset val="134"/>
      </rPr>
      <t>统计1月工资收入、投资收入信息以及1月份的收入支出</t>
    </r>
  </si>
  <si>
    <t>截止日期：2022-01-30</t>
  </si>
  <si>
    <t>收入（税后）</t>
  </si>
  <si>
    <t>工资薪水收入</t>
  </si>
  <si>
    <t>工资收入</t>
  </si>
  <si>
    <t>负债</t>
  </si>
  <si>
    <t>医保卡返现</t>
  </si>
  <si>
    <t>小计</t>
  </si>
  <si>
    <t>投资收入</t>
  </si>
  <si>
    <t>权益类</t>
  </si>
  <si>
    <t>总支出</t>
  </si>
  <si>
    <t>净余额</t>
  </si>
  <si>
    <r>
      <rPr>
        <b/>
        <sz val="22"/>
        <color rgb="FF000000"/>
        <rFont val="仿宋"/>
        <family val="3"/>
        <charset val="134"/>
      </rPr>
      <t xml:space="preserve">收入支出表
</t>
    </r>
    <r>
      <rPr>
        <sz val="10"/>
        <color rgb="FF000000"/>
        <rFont val="仿宋"/>
        <family val="3"/>
        <charset val="134"/>
      </rPr>
      <t>统计11月工资收入、投资收入信息以及12月份的收入支出</t>
    </r>
  </si>
  <si>
    <t>2021年度情况</t>
  </si>
  <si>
    <t>截止日期：2021-12-30</t>
  </si>
  <si>
    <t>月份</t>
  </si>
  <si>
    <t>收入情况分析</t>
  </si>
  <si>
    <t>支出情况分析</t>
  </si>
  <si>
    <t>纯利润</t>
  </si>
  <si>
    <t>结论</t>
  </si>
  <si>
    <t>￥1,499.59</t>
  </si>
  <si>
    <t>1月</t>
  </si>
  <si>
    <t>本年度内因购买礼物、出行、个税补缴交通等进行了大量的花费，这个需要在2022年进行控制，全年保证基本收入在4.5w，支出控制在5K左右，保证年收入维持在4*13.5=44w左右</t>
  </si>
  <si>
    <t>￥497.01</t>
  </si>
  <si>
    <t>2月</t>
  </si>
  <si>
    <t>￥1,062.91</t>
  </si>
  <si>
    <t>3月</t>
  </si>
  <si>
    <t>￥14.40</t>
  </si>
  <si>
    <t>4月</t>
  </si>
  <si>
    <t>￥29.70</t>
  </si>
  <si>
    <t>5月</t>
  </si>
  <si>
    <t>￥0.00</t>
  </si>
  <si>
    <t>6月</t>
  </si>
  <si>
    <t>7月</t>
  </si>
  <si>
    <t xml:space="preserve"> ¥         -  </t>
  </si>
  <si>
    <t>8月</t>
  </si>
  <si>
    <t>￥670.18</t>
  </si>
  <si>
    <t>9月</t>
  </si>
  <si>
    <t>10月</t>
  </si>
  <si>
    <t>11月</t>
  </si>
  <si>
    <t>12月</t>
  </si>
  <si>
    <t>￥3,012.18</t>
  </si>
  <si>
    <t>￥1,048.00</t>
  </si>
  <si>
    <t>￥174.10</t>
  </si>
  <si>
    <t>￥39.60</t>
  </si>
  <si>
    <t>￥8,047.67</t>
  </si>
  <si>
    <r>
      <rPr>
        <b/>
        <sz val="22"/>
        <color rgb="FF000000"/>
        <rFont val="仿宋"/>
        <family val="3"/>
        <charset val="134"/>
      </rPr>
      <t xml:space="preserve">收入支出表
</t>
    </r>
    <r>
      <rPr>
        <sz val="10"/>
        <color rgb="FF000000"/>
        <rFont val="仿宋"/>
        <family val="3"/>
        <charset val="134"/>
      </rPr>
      <t>统计10月工资收入、投资收入信息以及11月份的收入支出</t>
    </r>
  </si>
  <si>
    <t>截止日期：2021-11-30</t>
  </si>
  <si>
    <t>￥2,592.88</t>
  </si>
  <si>
    <t>￥500.11</t>
  </si>
  <si>
    <t>￥594.23</t>
  </si>
  <si>
    <t>￥54.40</t>
  </si>
  <si>
    <t>￥33.60</t>
  </si>
  <si>
    <t>￥55.50</t>
  </si>
  <si>
    <t>￥169.19</t>
  </si>
  <si>
    <t>￥3,158.71</t>
  </si>
  <si>
    <t>￥257.70</t>
  </si>
  <si>
    <t>￥3.00</t>
  </si>
  <si>
    <t>￥7,419.32</t>
  </si>
  <si>
    <r>
      <rPr>
        <b/>
        <sz val="22"/>
        <color rgb="FF000000"/>
        <rFont val="仿宋"/>
        <family val="3"/>
        <charset val="134"/>
      </rPr>
      <t xml:space="preserve">收入支出表
</t>
    </r>
    <r>
      <rPr>
        <sz val="10"/>
        <color rgb="FF000000"/>
        <rFont val="仿宋"/>
        <family val="3"/>
        <charset val="134"/>
      </rPr>
      <t>统计9月工资收入、投资收入信息以及10月份的收入支出</t>
    </r>
  </si>
  <si>
    <t>截止日期：2021-11-01</t>
  </si>
  <si>
    <t>￥2,578.68</t>
  </si>
  <si>
    <t>卖书收入</t>
  </si>
  <si>
    <t>￥93.10</t>
  </si>
  <si>
    <t>￥1,376.93</t>
  </si>
  <si>
    <t>￥758.76</t>
  </si>
  <si>
    <t>￥285.79</t>
  </si>
  <si>
    <t>￥45.60</t>
  </si>
  <si>
    <t>￥89.67</t>
  </si>
  <si>
    <t>￥5,228.53</t>
  </si>
  <si>
    <r>
      <rPr>
        <b/>
        <sz val="22"/>
        <color rgb="FF000000"/>
        <rFont val="仿宋"/>
        <family val="3"/>
        <charset val="134"/>
      </rPr>
      <t xml:space="preserve">收入支出表
</t>
    </r>
    <r>
      <rPr>
        <sz val="10"/>
        <color rgb="FF000000"/>
        <rFont val="仿宋"/>
        <family val="3"/>
        <charset val="134"/>
      </rPr>
      <t>统计9月工资收入、投资收入信息以及9月份的支出</t>
    </r>
  </si>
  <si>
    <t>截止日期：2021-10-01</t>
  </si>
  <si>
    <t>￥3,827.00</t>
  </si>
  <si>
    <t>￥1,184.54</t>
  </si>
  <si>
    <t>￥613.57</t>
  </si>
  <si>
    <t>￥1,811.65</t>
  </si>
  <si>
    <t>￥196.99</t>
  </si>
  <si>
    <t>￥7,633.75</t>
  </si>
  <si>
    <r>
      <rPr>
        <b/>
        <sz val="22"/>
        <color rgb="FF000000"/>
        <rFont val="仿宋"/>
        <family val="3"/>
        <charset val="134"/>
      </rPr>
      <t xml:space="preserve">收入支出表
</t>
    </r>
    <r>
      <rPr>
        <sz val="10"/>
        <color rgb="FF000000"/>
        <rFont val="仿宋"/>
        <family val="3"/>
        <charset val="134"/>
      </rPr>
      <t>统计8月工资收入、投资收入信息以及8月份的支出</t>
    </r>
  </si>
  <si>
    <t>截止日期：2021-09-01</t>
  </si>
  <si>
    <t>￥3,653.00</t>
  </si>
  <si>
    <t>￥1,283.23</t>
  </si>
  <si>
    <t>￥784.68</t>
  </si>
  <si>
    <t>￥539.78</t>
  </si>
  <si>
    <t>￥198.03</t>
  </si>
  <si>
    <t>￥4,298.90</t>
  </si>
  <si>
    <t>￥10,757.62</t>
  </si>
  <si>
    <r>
      <rPr>
        <b/>
        <sz val="22"/>
        <color rgb="FF000000"/>
        <rFont val="仿宋"/>
        <family val="3"/>
        <charset val="134"/>
      </rPr>
      <t xml:space="preserve">收入支出表
</t>
    </r>
    <r>
      <rPr>
        <sz val="10"/>
        <color rgb="FF000000"/>
        <rFont val="仿宋"/>
        <family val="3"/>
        <charset val="134"/>
      </rPr>
      <t>统计7月工资收入、投资收入信息以及7月份的支出</t>
    </r>
  </si>
  <si>
    <t>截止日期：2021-07-31</t>
  </si>
  <si>
    <t>￥3,070.00</t>
  </si>
  <si>
    <t>￥327.00</t>
  </si>
  <si>
    <t>老弟还钱</t>
  </si>
  <si>
    <t>租房押金</t>
  </si>
  <si>
    <t>￥1,831.09</t>
  </si>
  <si>
    <t>网络费等还款</t>
  </si>
  <si>
    <t>￥326.01</t>
  </si>
  <si>
    <t>￥388.67</t>
  </si>
  <si>
    <t>￥4,121.60</t>
  </si>
  <si>
    <t>￥10,064.37</t>
  </si>
  <si>
    <r>
      <rPr>
        <b/>
        <sz val="22"/>
        <color rgb="FF000000"/>
        <rFont val="仿宋"/>
        <family val="3"/>
        <charset val="134"/>
      </rPr>
      <t xml:space="preserve">收入支出表
</t>
    </r>
    <r>
      <rPr>
        <sz val="10"/>
        <color rgb="FF000000"/>
        <rFont val="仿宋"/>
        <family val="3"/>
        <charset val="134"/>
      </rPr>
      <t>统计6月工资收入、投资收入信息以及6月份的支出</t>
    </r>
  </si>
  <si>
    <t>截止日期：2021-06-30</t>
  </si>
  <si>
    <t>￥200.00</t>
  </si>
  <si>
    <t>￥490.00</t>
  </si>
  <si>
    <t>补充医疗收入</t>
  </si>
  <si>
    <t>￥829.03</t>
  </si>
  <si>
    <t>租房折算的网费</t>
  </si>
  <si>
    <t>￥314.21</t>
  </si>
  <si>
    <t>￥669.52</t>
  </si>
  <si>
    <t>￥181.48</t>
  </si>
  <si>
    <t>￥7.70</t>
  </si>
  <si>
    <t>￥2,691.94</t>
  </si>
  <si>
    <r>
      <rPr>
        <b/>
        <sz val="22"/>
        <color rgb="FF000000"/>
        <rFont val="仿宋"/>
        <family val="3"/>
        <charset val="134"/>
      </rPr>
      <t xml:space="preserve">收入支出表
</t>
    </r>
    <r>
      <rPr>
        <sz val="10"/>
        <color rgb="FF000000"/>
        <rFont val="仿宋"/>
        <family val="3"/>
        <charset val="134"/>
      </rPr>
      <t>统计5月工资收入、投资收入信息以及5月份的支出</t>
    </r>
  </si>
  <si>
    <t>截止日期：2021-05-30</t>
  </si>
  <si>
    <t>￥1,392.98</t>
  </si>
  <si>
    <t>￥222.56</t>
  </si>
  <si>
    <t>￥89.80</t>
  </si>
  <si>
    <t>咸鱼出售gopro</t>
  </si>
  <si>
    <t>￥1,923.00</t>
  </si>
  <si>
    <t>￥73.92</t>
  </si>
  <si>
    <t>￥10,705.76</t>
  </si>
  <si>
    <t>￥639.26</t>
  </si>
  <si>
    <t>个税</t>
  </si>
  <si>
    <t>￥9,322.80</t>
  </si>
  <si>
    <t>￥24,370.08</t>
  </si>
  <si>
    <r>
      <rPr>
        <b/>
        <sz val="22"/>
        <color theme="1"/>
        <rFont val="仿宋"/>
        <family val="3"/>
        <charset val="134"/>
      </rPr>
      <t xml:space="preserve">资产负债表
</t>
    </r>
    <r>
      <rPr>
        <sz val="10"/>
        <color theme="1"/>
        <rFont val="仿宋"/>
        <family val="3"/>
        <charset val="134"/>
      </rPr>
      <t>统计截止到7月2日的资产负债情况</t>
    </r>
  </si>
  <si>
    <t>截止日期：2022-02-01</t>
  </si>
  <si>
    <t>资产</t>
  </si>
  <si>
    <t>现金及现金等价物（流动资产）</t>
  </si>
  <si>
    <t>理财产品</t>
  </si>
  <si>
    <t>浦发信用卡</t>
  </si>
  <si>
    <t>流动现金</t>
  </si>
  <si>
    <t>朝朝宝</t>
  </si>
  <si>
    <t>外债</t>
  </si>
  <si>
    <t>借款（敏）</t>
  </si>
  <si>
    <t>押金</t>
  </si>
  <si>
    <t>支付宝押金</t>
  </si>
  <si>
    <t>微信</t>
  </si>
  <si>
    <t>现金</t>
  </si>
  <si>
    <t>其他金融资产</t>
  </si>
  <si>
    <t>招商银行</t>
  </si>
  <si>
    <t>基金</t>
  </si>
  <si>
    <t>黄金</t>
  </si>
  <si>
    <t>京东</t>
  </si>
  <si>
    <t>投顾</t>
  </si>
  <si>
    <t>支付宝</t>
  </si>
  <si>
    <t>南方</t>
  </si>
  <si>
    <t>理财魔方</t>
  </si>
  <si>
    <t>总资产</t>
  </si>
  <si>
    <t>总负债</t>
  </si>
  <si>
    <t>净资产</t>
  </si>
  <si>
    <t>截止日期：2022-01-02</t>
  </si>
  <si>
    <t>截止日期：2021-10-30</t>
  </si>
  <si>
    <t>截止日期：2021-09-30</t>
  </si>
  <si>
    <t>截止日期：2021-08-31</t>
  </si>
  <si>
    <t>截止日期：2021-07-02</t>
  </si>
  <si>
    <r>
      <rPr>
        <b/>
        <sz val="22"/>
        <color theme="1"/>
        <rFont val="仿宋"/>
        <family val="3"/>
        <charset val="134"/>
      </rPr>
      <t xml:space="preserve">资产负债表
</t>
    </r>
    <r>
      <rPr>
        <sz val="10"/>
        <color theme="1"/>
        <rFont val="仿宋"/>
        <family val="3"/>
        <charset val="134"/>
      </rPr>
      <t>统计截止到6月1日的资产负债情况</t>
    </r>
  </si>
  <si>
    <t>截止日期：2021-06-01</t>
  </si>
  <si>
    <t>花呗</t>
  </si>
  <si>
    <r>
      <rPr>
        <b/>
        <sz val="22"/>
        <color theme="1"/>
        <rFont val="仿宋"/>
        <family val="3"/>
        <charset val="134"/>
      </rPr>
      <t xml:space="preserve">资产负债表
</t>
    </r>
    <r>
      <rPr>
        <sz val="10"/>
        <color theme="1"/>
        <rFont val="仿宋"/>
        <family val="3"/>
        <charset val="134"/>
      </rPr>
      <t>统计截止到5月1日的资产负债情况</t>
    </r>
  </si>
  <si>
    <t>截止日期：2021-05-01</t>
  </si>
  <si>
    <t>整理卫生间&amp;楼道</t>
  </si>
  <si>
    <t>走亲戚</t>
  </si>
  <si>
    <t>记账</t>
  </si>
  <si>
    <t>整理</t>
  </si>
  <si>
    <t>陪伴家人</t>
  </si>
  <si>
    <t>电影</t>
  </si>
  <si>
    <t>烧烤</t>
  </si>
  <si>
    <t>快递</t>
  </si>
  <si>
    <t>日化品</t>
  </si>
  <si>
    <t>kfc</t>
  </si>
  <si>
    <t>奶茶</t>
  </si>
  <si>
    <t>走亲戚礼品</t>
  </si>
  <si>
    <t>红包款</t>
  </si>
  <si>
    <t>给阿姨</t>
    <phoneticPr fontId="30" type="noConversion"/>
  </si>
  <si>
    <t>羊肉串</t>
    <phoneticPr fontId="30" type="noConversion"/>
  </si>
  <si>
    <t>门票</t>
    <phoneticPr fontId="30" type="noConversion"/>
  </si>
  <si>
    <t>核算</t>
    <phoneticPr fontId="30" type="noConversion"/>
  </si>
  <si>
    <t>和朋友聚餐</t>
    <phoneticPr fontId="30" type="noConversion"/>
  </si>
  <si>
    <t>食物</t>
    <phoneticPr fontId="30" type="noConversion"/>
  </si>
  <si>
    <t>买菜</t>
    <phoneticPr fontId="30" type="noConversion"/>
  </si>
  <si>
    <t>锅烧</t>
    <phoneticPr fontId="30" type="noConversion"/>
  </si>
  <si>
    <t>退款</t>
    <phoneticPr fontId="30" type="noConversion"/>
  </si>
  <si>
    <t>调整款</t>
    <phoneticPr fontId="30" type="noConversion"/>
  </si>
  <si>
    <t>打入款</t>
    <phoneticPr fontId="30" type="noConversion"/>
  </si>
  <si>
    <t>截止日期：2022-02-28</t>
    <phoneticPr fontId="30" type="noConversion"/>
  </si>
  <si>
    <r>
      <t xml:space="preserve">收入支出表
</t>
    </r>
    <r>
      <rPr>
        <sz val="10"/>
        <color rgb="FF000000"/>
        <rFont val="仿宋"/>
        <family val="3"/>
        <charset val="134"/>
      </rPr>
      <t>统计2月工资收入、投资收入信息以及2月份的收入支出</t>
    </r>
    <phoneticPr fontId="30" type="noConversion"/>
  </si>
  <si>
    <t>休息时间</t>
    <phoneticPr fontId="34" type="noConversion"/>
  </si>
  <si>
    <t>洗漱</t>
    <phoneticPr fontId="34" type="noConversion"/>
  </si>
  <si>
    <t>上班&amp;新闻</t>
    <phoneticPr fontId="34" type="noConversion"/>
  </si>
  <si>
    <t>沟通量化事宜</t>
    <phoneticPr fontId="34" type="noConversion"/>
  </si>
  <si>
    <t>午饭</t>
    <phoneticPr fontId="34" type="noConversion"/>
  </si>
  <si>
    <t>阅读</t>
    <phoneticPr fontId="34" type="noConversion"/>
  </si>
  <si>
    <t>午休</t>
    <phoneticPr fontId="34" type="noConversion"/>
  </si>
  <si>
    <t>表格制作
团队沟通</t>
    <phoneticPr fontId="34" type="noConversion"/>
  </si>
  <si>
    <t>下班&amp;新闻</t>
    <phoneticPr fontId="34" type="noConversion"/>
  </si>
  <si>
    <t>购买食材</t>
    <phoneticPr fontId="34" type="noConversion"/>
  </si>
  <si>
    <t>制作便当&amp;晚饭</t>
    <phoneticPr fontId="34" type="noConversion"/>
  </si>
  <si>
    <t>整理视频素材</t>
    <phoneticPr fontId="34" type="noConversion"/>
  </si>
  <si>
    <t>洗澡</t>
    <phoneticPr fontId="34" type="noConversion"/>
  </si>
  <si>
    <t xml:space="preserve">整理过年的全部表格内容
</t>
    <phoneticPr fontId="34" type="noConversion"/>
  </si>
  <si>
    <t>沟通各方，确定量化相关内容</t>
    <phoneticPr fontId="34" type="noConversion"/>
  </si>
  <si>
    <t>晚饭&amp;便当</t>
    <phoneticPr fontId="34" type="noConversion"/>
  </si>
  <si>
    <t>学习时间</t>
    <phoneticPr fontId="34" type="noConversion"/>
  </si>
  <si>
    <t>制作结婚视频</t>
    <phoneticPr fontId="34" type="noConversion"/>
  </si>
  <si>
    <t>1、《巨人的方法》</t>
    <phoneticPr fontId="34" type="noConversion"/>
  </si>
  <si>
    <t>2、《启示录》</t>
    <phoneticPr fontId="34" type="noConversion"/>
  </si>
  <si>
    <t>3、《千万别说你懂买房》</t>
    <phoneticPr fontId="34" type="noConversion"/>
  </si>
  <si>
    <t>记单词</t>
    <phoneticPr fontId="34" type="noConversion"/>
  </si>
  <si>
    <t>洗漱&amp;吃早餐</t>
    <phoneticPr fontId="34" type="noConversion"/>
  </si>
  <si>
    <t>沟通解决基金部日常问题&amp;量化问题</t>
    <phoneticPr fontId="34" type="noConversion"/>
  </si>
  <si>
    <t>看知乎</t>
    <phoneticPr fontId="34" type="noConversion"/>
  </si>
  <si>
    <t>量化需求评审&amp;竞品分析（1/3）</t>
    <phoneticPr fontId="34" type="noConversion"/>
  </si>
  <si>
    <t>查看健身房</t>
    <phoneticPr fontId="34" type="noConversion"/>
  </si>
  <si>
    <t>婚礼视频&amp;打印照片</t>
    <phoneticPr fontId="34" type="noConversion"/>
  </si>
  <si>
    <t>洗澡&amp;阅读</t>
    <phoneticPr fontId="34" type="noConversion"/>
  </si>
  <si>
    <t>食材</t>
    <phoneticPr fontId="30" type="noConversion"/>
  </si>
  <si>
    <t>快递食物</t>
    <phoneticPr fontId="30" type="noConversion"/>
  </si>
  <si>
    <t>蛋糕</t>
    <phoneticPr fontId="30" type="noConversion"/>
  </si>
  <si>
    <t>粮油</t>
    <phoneticPr fontId="30" type="noConversion"/>
  </si>
  <si>
    <t>小黄鸭</t>
    <phoneticPr fontId="30" type="noConversion"/>
  </si>
  <si>
    <t>红糖发糕</t>
    <phoneticPr fontId="30" type="noConversion"/>
  </si>
  <si>
    <t>NK</t>
    <phoneticPr fontId="30" type="noConversion"/>
  </si>
  <si>
    <t>看《走向共和》</t>
    <phoneticPr fontId="34" type="noConversion"/>
  </si>
  <si>
    <t>休闲时间</t>
    <phoneticPr fontId="34" type="noConversion"/>
  </si>
  <si>
    <t>洗漱整理</t>
    <phoneticPr fontId="34" type="noConversion"/>
  </si>
  <si>
    <t>走向共和</t>
    <phoneticPr fontId="34" type="noConversion"/>
  </si>
  <si>
    <t>打扫房间</t>
    <phoneticPr fontId="34" type="noConversion"/>
  </si>
  <si>
    <t>图书馆看书&amp;加班</t>
    <phoneticPr fontId="34" type="noConversion"/>
  </si>
  <si>
    <t>晚饭时间</t>
    <phoneticPr fontId="34" type="noConversion"/>
  </si>
  <si>
    <t>git&amp;表格制作</t>
    <phoneticPr fontId="34" type="noConversion"/>
  </si>
  <si>
    <t>洗澡&amp;洗漱</t>
    <phoneticPr fontId="34" type="noConversion"/>
  </si>
  <si>
    <t>阅读&amp;学习</t>
    <phoneticPr fontId="34" type="noConversion"/>
  </si>
  <si>
    <t>吃午饭</t>
    <phoneticPr fontId="34" type="noConversion"/>
  </si>
  <si>
    <t>健身&amp;洗澡</t>
    <phoneticPr fontId="34" type="noConversion"/>
  </si>
  <si>
    <t>学习&amp;视频制作</t>
    <phoneticPr fontId="34" type="noConversion"/>
  </si>
  <si>
    <t>4、《史记》本纪 世家</t>
    <phoneticPr fontId="34" type="noConversion"/>
  </si>
  <si>
    <t>1、将mac电脑的git 和宏软件弄好</t>
    <phoneticPr fontId="34" type="noConversion"/>
  </si>
  <si>
    <t>1、</t>
    <phoneticPr fontId="34" type="noConversion"/>
  </si>
  <si>
    <t>1、《人类之子》</t>
    <phoneticPr fontId="34" type="noConversion"/>
  </si>
  <si>
    <t>2、《史密斯夫妇》</t>
    <phoneticPr fontId="34" type="noConversion"/>
  </si>
  <si>
    <t>2、开始进行单词记忆&amp;研究生阅读</t>
    <phoneticPr fontId="34" type="noConversion"/>
  </si>
  <si>
    <t>3、《走向共和》</t>
    <phoneticPr fontId="34" type="noConversion"/>
  </si>
  <si>
    <t>1、《启示录》</t>
    <phoneticPr fontId="30" type="noConversion"/>
  </si>
  <si>
    <t>休息时间</t>
    <phoneticPr fontId="30" type="noConversion"/>
  </si>
  <si>
    <t>阅读《三联》</t>
    <phoneticPr fontId="30" type="noConversion"/>
  </si>
  <si>
    <t>1、了解报刊杂志的订阅</t>
    <phoneticPr fontId="30" type="noConversion"/>
  </si>
  <si>
    <t>2、本次工作的调整，从一个方面来说是对于我在30岁这个节点上很好的一个打击和转折，我充分相信在这家公司做</t>
    <phoneticPr fontId="30" type="noConversion"/>
  </si>
  <si>
    <t>下去是没有前途的，因此我想早走晚走都是一个合理的选择，目前我需要尽可能实现利益最大化，首先3月底的底线</t>
    <phoneticPr fontId="30" type="noConversion"/>
  </si>
  <si>
    <t>这是时间要求，其次背调说明需要支持，最后在2-3月进行再次的求职是尽早需要行动的安排；微软、谷歌、蚂蚁</t>
    <phoneticPr fontId="30" type="noConversion"/>
  </si>
  <si>
    <t>中金、对于我而言，找一个合适的大平台不断的向上走，向上爬反而是一个更合理的选择，同时尽可能的减少自己</t>
    <phoneticPr fontId="30" type="noConversion"/>
  </si>
  <si>
    <t>对于自己的评判的内耗。</t>
    <phoneticPr fontId="30" type="noConversion"/>
  </si>
  <si>
    <t>早饭</t>
    <phoneticPr fontId="30" type="noConversion"/>
  </si>
  <si>
    <t>量化对接&amp;团队</t>
    <phoneticPr fontId="30" type="noConversion"/>
  </si>
  <si>
    <t>上班&amp;新闻</t>
    <phoneticPr fontId="30" type="noConversion"/>
  </si>
  <si>
    <t>午饭</t>
    <phoneticPr fontId="30" type="noConversion"/>
  </si>
  <si>
    <t>阅读《万历十五年》</t>
    <phoneticPr fontId="30" type="noConversion"/>
  </si>
  <si>
    <t>午休</t>
    <phoneticPr fontId="30" type="noConversion"/>
  </si>
  <si>
    <t>工作沟通安排
开启找工作计划</t>
    <phoneticPr fontId="30" type="noConversion"/>
  </si>
  <si>
    <t>下班&amp;新闻</t>
    <phoneticPr fontId="30" type="noConversion"/>
  </si>
  <si>
    <t>健身运动</t>
    <phoneticPr fontId="30" type="noConversion"/>
  </si>
  <si>
    <t>洗漱&amp;便当</t>
    <phoneticPr fontId="30" type="noConversion"/>
  </si>
  <si>
    <t>更新简历&amp;开启猎聘、linkin等机制</t>
    <phoneticPr fontId="30" type="noConversion"/>
  </si>
  <si>
    <t>学习时间</t>
    <phoneticPr fontId="30" type="noConversion"/>
  </si>
  <si>
    <t>洗漱</t>
    <phoneticPr fontId="30" type="noConversion"/>
  </si>
  <si>
    <t>周一 健身（有氧+腹部）</t>
    <phoneticPr fontId="30" type="noConversion"/>
  </si>
  <si>
    <t>周六 健身（背部）</t>
    <phoneticPr fontId="30" type="noConversion"/>
  </si>
  <si>
    <t>周四、健身（腿部）</t>
    <phoneticPr fontId="30" type="noConversion"/>
  </si>
  <si>
    <t>2、《巨人的工具》</t>
    <phoneticPr fontId="30" type="noConversion"/>
  </si>
  <si>
    <t xml:space="preserve">时间安排：2月份开始投递简历，争取3月初将工作确认，预计于4月份入职 </t>
    <phoneticPr fontId="30" type="noConversion"/>
  </si>
  <si>
    <t xml:space="preserve"> 洗漱&amp;早餐</t>
    <phoneticPr fontId="30" type="noConversion"/>
  </si>
  <si>
    <t>作品集</t>
    <phoneticPr fontId="30" type="noConversion"/>
  </si>
  <si>
    <t>晚饭</t>
    <phoneticPr fontId="30" type="noConversion"/>
  </si>
  <si>
    <t>《走向共和》</t>
    <phoneticPr fontId="30" type="noConversion"/>
  </si>
  <si>
    <t>git&amp;修改微软简历</t>
    <phoneticPr fontId="30" type="noConversion"/>
  </si>
  <si>
    <t>md交接文件</t>
    <phoneticPr fontId="30" type="noConversion"/>
  </si>
  <si>
    <t>交接文件&amp;资料备份</t>
    <phoneticPr fontId="30" type="noConversion"/>
  </si>
  <si>
    <t>晚饭&amp;休息</t>
    <phoneticPr fontId="30" type="noConversion"/>
  </si>
  <si>
    <t>外卖</t>
    <phoneticPr fontId="30" type="noConversion"/>
  </si>
  <si>
    <t>朋友聚餐</t>
    <phoneticPr fontId="30" type="noConversion"/>
  </si>
  <si>
    <t>镜子</t>
    <phoneticPr fontId="30" type="noConversion"/>
  </si>
  <si>
    <t>帽子</t>
    <phoneticPr fontId="30" type="noConversion"/>
  </si>
  <si>
    <t>笔记本</t>
    <phoneticPr fontId="30" type="noConversion"/>
  </si>
  <si>
    <t>毛衣</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</si>
</sst>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_(* #,##0_);_(* \(#,##0\);_(* &quot;-&quot;??_);_(@_)"/>
    <numFmt numFmtId="177" formatCode="0.00_ "/>
    <numFmt numFmtId="178" formatCode="0.0_);[Red]\(0.0\)"/>
    <numFmt numFmtId="179" formatCode="\¥#,##0.00_);[Red]\(\¥#,##0.00\)"/>
    <numFmt numFmtId="180" formatCode="yyyy/m/d;@"/>
    <numFmt numFmtId="181" formatCode="_ [$¥-804]* #,##0.00_ ;_ [$¥-804]* \-#,##0.00_ ;_ [$¥-804]* &quot;-&quot;??_ ;_ @_ "/>
    <numFmt numFmtId="182" formatCode="0.00_);[Red]\(0.00\)"/>
    <numFmt numFmtId="183" formatCode="_ * #,##0.00_ ;_ * \-#,##0.00_ ;_ * &quot;-&quot;??_ ;_ @_ "/>
    <numFmt numFmtId="184" formatCode="&quot;￥&quot;#,##0.00_);[Red]\(&quot;￥&quot;#,##0.00\)"/>
    <numFmt numFmtId="185" formatCode="_ &quot;￥&quot;* #,##0.00_ ;_ &quot;￥&quot;* \-#,##0.00_ ;_ &quot;￥&quot;* &quot;-&quot;??_ ;_ @_ "/>
    <numFmt numFmtId="186" formatCode="_(\¥* #,##0.00_);_(\¥* \(#,##0.00\);_(\¥* &quot;-&quot;??_);_(@_)"/>
    <numFmt numFmtId="187" formatCode="0_ "/>
  </numFmts>
  <fonts count="38">
    <font>
      <sz val="12"/>
      <color theme="1"/>
      <name val="宋体"/>
      <charset val="134"/>
      <scheme val="minor"/>
    </font>
    <font>
      <b/>
      <sz val="12"/>
      <color theme="1"/>
      <name val="仿宋"/>
      <family val="3"/>
      <charset val="134"/>
    </font>
    <font>
      <sz val="12"/>
      <color theme="1"/>
      <name val="仿宋"/>
      <family val="3"/>
      <charset val="134"/>
    </font>
    <font>
      <b/>
      <sz val="12"/>
      <name val="仿宋"/>
      <family val="3"/>
      <charset val="134"/>
    </font>
    <font>
      <sz val="12"/>
      <name val="仿宋"/>
      <family val="3"/>
      <charset val="134"/>
    </font>
    <font>
      <sz val="12"/>
      <color rgb="FFFF0000"/>
      <name val="仿宋"/>
      <family val="3"/>
      <charset val="134"/>
    </font>
    <font>
      <sz val="12"/>
      <color theme="4"/>
      <name val="仿宋"/>
      <family val="3"/>
      <charset val="134"/>
    </font>
    <font>
      <b/>
      <sz val="14"/>
      <color theme="1"/>
      <name val="仿宋"/>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rgb="FF333333"/>
      <name val="宋体"/>
      <family val="3"/>
      <charset val="134"/>
      <scheme val="minor"/>
    </font>
    <font>
      <b/>
      <sz val="12"/>
      <color indexed="10"/>
      <name val="宋体"/>
      <family val="3"/>
      <charset val="134"/>
      <scheme val="minor"/>
    </font>
    <font>
      <sz val="12"/>
      <color theme="1"/>
      <name val="宋体"/>
      <family val="3"/>
      <charset val="134"/>
    </font>
    <font>
      <sz val="12"/>
      <color rgb="FF222222"/>
      <name val="宋体"/>
      <family val="3"/>
      <charset val="134"/>
      <scheme val="minor"/>
    </font>
    <font>
      <u/>
      <sz val="12"/>
      <color theme="10"/>
      <name val="宋体"/>
      <family val="3"/>
      <charset val="134"/>
      <scheme val="minor"/>
    </font>
    <font>
      <b/>
      <sz val="22"/>
      <color theme="1"/>
      <name val="仿宋"/>
      <family val="3"/>
      <charset val="134"/>
    </font>
    <font>
      <b/>
      <sz val="22"/>
      <color rgb="FF000000"/>
      <name val="仿宋"/>
      <family val="3"/>
      <charset val="134"/>
    </font>
    <font>
      <sz val="12"/>
      <color rgb="FF000000"/>
      <name val="仿宋"/>
      <family val="3"/>
      <charset val="134"/>
    </font>
    <font>
      <sz val="11"/>
      <color rgb="FF000000"/>
      <name val="仿宋"/>
      <family val="3"/>
      <charset val="134"/>
    </font>
    <font>
      <b/>
      <sz val="12"/>
      <color rgb="FF000000"/>
      <name val="仿宋"/>
      <family val="3"/>
      <charset val="134"/>
    </font>
    <font>
      <b/>
      <sz val="11"/>
      <color theme="1"/>
      <name val="仿宋"/>
      <family val="3"/>
      <charset val="134"/>
    </font>
    <font>
      <sz val="11"/>
      <color theme="1"/>
      <name val="仿宋"/>
      <family val="3"/>
      <charset val="134"/>
    </font>
    <font>
      <sz val="11"/>
      <name val="仿宋"/>
      <family val="3"/>
      <charset val="134"/>
    </font>
    <font>
      <sz val="11"/>
      <color rgb="FFFF0000"/>
      <name val="仿宋"/>
      <family val="3"/>
      <charset val="134"/>
    </font>
    <font>
      <sz val="11"/>
      <color rgb="FF0070C0"/>
      <name val="仿宋"/>
      <family val="3"/>
      <charset val="134"/>
    </font>
    <font>
      <u/>
      <sz val="11"/>
      <color rgb="FF0000FF"/>
      <name val="宋体"/>
      <family val="3"/>
      <charset val="134"/>
      <scheme val="minor"/>
    </font>
    <font>
      <sz val="10"/>
      <color theme="1"/>
      <name val="仿宋"/>
      <family val="3"/>
      <charset val="134"/>
    </font>
    <font>
      <sz val="10"/>
      <color rgb="FF000000"/>
      <name val="仿宋"/>
      <family val="3"/>
      <charset val="134"/>
    </font>
    <font>
      <sz val="12"/>
      <color theme="1"/>
      <name val="宋体"/>
      <family val="3"/>
      <charset val="134"/>
      <scheme val="minor"/>
    </font>
    <font>
      <sz val="9"/>
      <name val="宋体"/>
      <family val="3"/>
      <charset val="134"/>
      <scheme val="minor"/>
    </font>
    <font>
      <sz val="12"/>
      <color theme="1"/>
      <name val="仿宋"/>
      <family val="3"/>
      <charset val="134"/>
    </font>
    <font>
      <sz val="12"/>
      <color rgb="FF000000"/>
      <name val="仿宋"/>
      <family val="3"/>
      <charset val="134"/>
    </font>
    <font>
      <b/>
      <sz val="22"/>
      <color rgb="FF000000"/>
      <name val="仿宋"/>
      <family val="3"/>
      <charset val="134"/>
    </font>
    <font>
      <sz val="9"/>
      <name val="宋体"/>
      <family val="3"/>
      <charset val="134"/>
      <scheme val="minor"/>
    </font>
    <font>
      <sz val="12"/>
      <color theme="1"/>
      <name val="宋体"/>
      <family val="3"/>
      <charset val="134"/>
      <scheme val="minor"/>
    </font>
    <font>
      <sz val="12"/>
      <name val="宋体"/>
      <family val="3"/>
      <charset val="134"/>
      <scheme val="minor"/>
    </font>
    <font>
      <sz val="12"/>
      <color rgb="FF333333"/>
      <name val="宋体"/>
      <family val="3"/>
      <charset val="134"/>
      <scheme val="minor"/>
    </font>
  </fonts>
  <fills count="17">
    <fill>
      <patternFill patternType="none"/>
    </fill>
    <fill>
      <patternFill patternType="gray125"/>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0070C0"/>
        <bgColor indexed="64"/>
      </patternFill>
    </fill>
    <fill>
      <patternFill patternType="solid">
        <fgColor theme="4" tint="0.59999389629810485"/>
        <bgColor indexed="64"/>
      </patternFill>
    </fill>
    <fill>
      <patternFill patternType="solid">
        <fgColor indexed="10"/>
        <bgColor indexed="64"/>
      </patternFill>
    </fill>
    <fill>
      <patternFill patternType="solid">
        <fgColor rgb="FFFFC000"/>
        <bgColor indexed="64"/>
      </patternFill>
    </fill>
    <fill>
      <patternFill patternType="solid">
        <fgColor theme="2" tint="-0.249977111117893"/>
        <bgColor indexed="64"/>
      </patternFill>
    </fill>
    <fill>
      <patternFill patternType="solid">
        <fgColor rgb="FFB4C6E7"/>
        <bgColor rgb="FF000000"/>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s>
  <cellStyleXfs count="5">
    <xf numFmtId="0" fontId="0" fillId="0" borderId="0">
      <alignment vertical="center"/>
    </xf>
    <xf numFmtId="185" fontId="29" fillId="0" borderId="0" applyFont="0" applyFill="0" applyBorder="0" applyAlignment="0" applyProtection="0">
      <alignment vertical="center"/>
    </xf>
    <xf numFmtId="9"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26" fillId="0" borderId="0" applyNumberFormat="0" applyFill="0" applyBorder="0" applyAlignment="0" applyProtection="0">
      <alignment vertical="center"/>
    </xf>
  </cellStyleXfs>
  <cellXfs count="466">
    <xf numFmtId="0" fontId="0" fillId="0" borderId="0" xfId="0">
      <alignment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184" fontId="2" fillId="0" borderId="0" xfId="0" applyNumberFormat="1" applyFont="1" applyFill="1" applyAlignment="1">
      <alignment horizontal="center" vertical="center"/>
    </xf>
    <xf numFmtId="0" fontId="2" fillId="0" borderId="0" xfId="0" applyFont="1" applyFill="1" applyAlignment="1">
      <alignment horizontal="center" vertical="center"/>
    </xf>
    <xf numFmtId="180" fontId="2" fillId="0" borderId="0" xfId="0" applyNumberFormat="1" applyFont="1" applyFill="1" applyAlignment="1">
      <alignment horizontal="center" vertical="center"/>
    </xf>
    <xf numFmtId="184" fontId="2" fillId="0" borderId="0" xfId="1" applyNumberFormat="1" applyFont="1" applyAlignment="1">
      <alignment horizontal="center" vertical="center"/>
    </xf>
    <xf numFmtId="181" fontId="2" fillId="0" borderId="0" xfId="1" applyNumberFormat="1" applyFont="1" applyAlignment="1">
      <alignment horizontal="center" vertical="center"/>
    </xf>
    <xf numFmtId="182" fontId="2" fillId="0" borderId="0" xfId="0" applyNumberFormat="1" applyFont="1" applyFill="1" applyAlignment="1">
      <alignment horizontal="center" vertical="center"/>
    </xf>
    <xf numFmtId="0" fontId="0" fillId="0" borderId="0" xfId="0" applyFill="1" applyAlignment="1">
      <alignment vertical="center"/>
    </xf>
    <xf numFmtId="180" fontId="1" fillId="0" borderId="0" xfId="0" applyNumberFormat="1" applyFont="1" applyFill="1" applyAlignment="1">
      <alignment horizontal="center" vertical="center"/>
    </xf>
    <xf numFmtId="180" fontId="3" fillId="2"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84" fontId="3" fillId="2" borderId="1" xfId="0" applyNumberFormat="1" applyFont="1" applyFill="1" applyBorder="1" applyAlignment="1">
      <alignment horizontal="center" vertical="center" wrapText="1"/>
    </xf>
    <xf numFmtId="184" fontId="4" fillId="0" borderId="1" xfId="0" applyNumberFormat="1" applyFont="1" applyFill="1" applyBorder="1" applyAlignment="1">
      <alignment horizontal="center" vertical="center" wrapText="1"/>
    </xf>
    <xf numFmtId="0" fontId="1" fillId="2" borderId="1" xfId="0" applyFont="1" applyFill="1" applyBorder="1" applyAlignment="1">
      <alignment horizontal="center" vertical="center"/>
    </xf>
    <xf numFmtId="184" fontId="1" fillId="2" borderId="1" xfId="1"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0" xfId="0" applyNumberFormat="1" applyFont="1" applyFill="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1" fontId="1" fillId="0" borderId="0" xfId="1" applyNumberFormat="1" applyFont="1" applyAlignment="1">
      <alignment horizontal="center" vertical="center"/>
    </xf>
    <xf numFmtId="180" fontId="2" fillId="0" borderId="2" xfId="0" applyNumberFormat="1" applyFont="1" applyFill="1" applyBorder="1" applyAlignment="1">
      <alignment horizontal="center" vertical="center"/>
    </xf>
    <xf numFmtId="0" fontId="2" fillId="0" borderId="0" xfId="0" applyFont="1" applyFill="1" applyBorder="1" applyAlignment="1">
      <alignment horizontal="center" vertical="center"/>
    </xf>
    <xf numFmtId="181" fontId="3" fillId="2" borderId="1" xfId="0" applyNumberFormat="1" applyFont="1" applyFill="1" applyBorder="1" applyAlignment="1">
      <alignment horizontal="center" vertical="center" wrapText="1"/>
    </xf>
    <xf numFmtId="181" fontId="2" fillId="0" borderId="1" xfId="1" applyNumberFormat="1" applyFont="1" applyFill="1" applyBorder="1" applyAlignment="1">
      <alignment horizontal="center" vertical="center"/>
    </xf>
    <xf numFmtId="58" fontId="2" fillId="0"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0" borderId="1" xfId="0" applyNumberFormat="1" applyFont="1" applyFill="1" applyBorder="1" applyAlignment="1">
      <alignment horizontal="center" vertical="center"/>
    </xf>
    <xf numFmtId="180" fontId="5" fillId="0" borderId="1" xfId="0" applyNumberFormat="1" applyFont="1" applyFill="1" applyBorder="1" applyAlignment="1">
      <alignment horizontal="center" vertical="center"/>
    </xf>
    <xf numFmtId="180" fontId="2" fillId="0" borderId="1" xfId="0" applyNumberFormat="1" applyFont="1" applyFill="1" applyBorder="1" applyAlignment="1">
      <alignment vertical="center"/>
    </xf>
    <xf numFmtId="180" fontId="2" fillId="0" borderId="1" xfId="0" applyNumberFormat="1" applyFont="1" applyFill="1" applyBorder="1" applyAlignment="1">
      <alignment vertical="center"/>
    </xf>
    <xf numFmtId="58" fontId="2" fillId="0" borderId="1" xfId="0" applyNumberFormat="1" applyFont="1" applyFill="1" applyBorder="1" applyAlignment="1">
      <alignment horizontal="center" vertical="center"/>
    </xf>
    <xf numFmtId="184" fontId="1" fillId="0" borderId="0" xfId="1" applyNumberFormat="1" applyFont="1" applyAlignment="1">
      <alignment horizontal="center" vertical="center"/>
    </xf>
    <xf numFmtId="184" fontId="5" fillId="0" borderId="1" xfId="1" applyNumberFormat="1" applyFont="1" applyFill="1" applyBorder="1" applyAlignment="1">
      <alignment horizontal="center" vertical="center"/>
    </xf>
    <xf numFmtId="181" fontId="5"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1" fillId="0" borderId="0" xfId="0" applyNumberFormat="1" applyFont="1" applyFill="1" applyAlignment="1">
      <alignment horizontal="center" vertical="center"/>
    </xf>
    <xf numFmtId="184" fontId="3" fillId="3" borderId="1" xfId="0" applyNumberFormat="1" applyFont="1" applyFill="1" applyBorder="1" applyAlignment="1">
      <alignment horizontal="center" vertical="center" wrapText="1"/>
    </xf>
    <xf numFmtId="184" fontId="2" fillId="0" borderId="1" xfId="1" applyNumberFormat="1" applyFont="1" applyFill="1" applyBorder="1" applyAlignment="1">
      <alignment horizontal="center" vertical="center"/>
    </xf>
    <xf numFmtId="180" fontId="2" fillId="0" borderId="1" xfId="0" applyNumberFormat="1" applyFont="1" applyFill="1" applyBorder="1" applyAlignment="1">
      <alignment vertical="center"/>
    </xf>
    <xf numFmtId="184" fontId="4"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wrapText="1"/>
    </xf>
    <xf numFmtId="184" fontId="6" fillId="0" borderId="1" xfId="1" applyNumberFormat="1" applyFont="1" applyFill="1" applyBorder="1" applyAlignment="1">
      <alignment horizontal="center" vertical="center"/>
    </xf>
    <xf numFmtId="180" fontId="2" fillId="4" borderId="1" xfId="0" applyNumberFormat="1" applyFont="1" applyFill="1" applyBorder="1" applyAlignment="1">
      <alignment vertical="center"/>
    </xf>
    <xf numFmtId="184" fontId="2" fillId="0" borderId="1" xfId="1" applyNumberFormat="1" applyFont="1" applyBorder="1" applyAlignment="1">
      <alignment horizontal="center" vertical="center"/>
    </xf>
    <xf numFmtId="184" fontId="1" fillId="0"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179" fontId="1" fillId="3" borderId="1" xfId="0" applyNumberFormat="1" applyFont="1" applyFill="1" applyBorder="1" applyAlignment="1">
      <alignment horizontal="center" vertical="center"/>
    </xf>
    <xf numFmtId="0" fontId="2" fillId="0" borderId="3" xfId="0" applyFont="1" applyFill="1" applyBorder="1" applyAlignment="1">
      <alignment horizontal="center" vertical="center"/>
    </xf>
    <xf numFmtId="181" fontId="2" fillId="0" borderId="1" xfId="1" applyNumberFormat="1" applyFont="1" applyFill="1" applyBorder="1" applyAlignment="1">
      <alignment horizontal="center" vertical="center"/>
    </xf>
    <xf numFmtId="58" fontId="2" fillId="4" borderId="1" xfId="0" applyNumberFormat="1" applyFont="1" applyFill="1" applyBorder="1" applyAlignment="1">
      <alignment horizontal="center" vertical="center"/>
    </xf>
    <xf numFmtId="58" fontId="2" fillId="4" borderId="1" xfId="0" applyNumberFormat="1" applyFont="1" applyFill="1" applyBorder="1" applyAlignment="1">
      <alignment vertical="center"/>
    </xf>
    <xf numFmtId="0" fontId="1" fillId="0" borderId="1" xfId="0" applyNumberFormat="1" applyFont="1" applyFill="1" applyBorder="1" applyAlignment="1">
      <alignment horizontal="center" vertical="center"/>
    </xf>
    <xf numFmtId="180" fontId="1" fillId="0" borderId="1" xfId="0" applyNumberFormat="1" applyFont="1" applyFill="1" applyBorder="1" applyAlignment="1">
      <alignment horizontal="center" vertical="center"/>
    </xf>
    <xf numFmtId="0" fontId="2" fillId="0" borderId="1" xfId="0" applyNumberFormat="1" applyFont="1" applyFill="1" applyBorder="1" applyAlignment="1">
      <alignment horizontal="center" vertical="center"/>
    </xf>
    <xf numFmtId="0" fontId="2" fillId="3" borderId="1" xfId="0" applyNumberFormat="1" applyFont="1" applyFill="1" applyBorder="1" applyAlignment="1">
      <alignment horizontal="center" vertical="center"/>
    </xf>
    <xf numFmtId="180" fontId="2" fillId="3" borderId="1" xfId="0" applyNumberFormat="1" applyFont="1" applyFill="1" applyBorder="1" applyAlignment="1">
      <alignment horizontal="center" vertical="center"/>
    </xf>
    <xf numFmtId="182" fontId="1" fillId="0" borderId="0" xfId="0" applyNumberFormat="1" applyFont="1" applyFill="1" applyBorder="1" applyAlignment="1">
      <alignment horizontal="center" vertical="center"/>
    </xf>
    <xf numFmtId="182" fontId="1" fillId="0" borderId="0" xfId="0" applyNumberFormat="1" applyFont="1" applyFill="1" applyAlignment="1">
      <alignment horizontal="center" vertical="center"/>
    </xf>
    <xf numFmtId="58" fontId="1" fillId="0" borderId="1" xfId="0" applyNumberFormat="1" applyFont="1" applyFill="1" applyBorder="1" applyAlignment="1">
      <alignment horizontal="center" vertical="center"/>
    </xf>
    <xf numFmtId="182" fontId="1" fillId="0" borderId="1" xfId="0" applyNumberFormat="1" applyFont="1" applyFill="1" applyBorder="1" applyAlignment="1">
      <alignment horizontal="center" vertical="center"/>
    </xf>
    <xf numFmtId="0" fontId="1" fillId="0" borderId="1" xfId="0" applyFont="1" applyFill="1" applyBorder="1" applyAlignment="1">
      <alignment horizontal="center" vertical="center"/>
    </xf>
    <xf numFmtId="182" fontId="2" fillId="0" borderId="1" xfId="0" applyNumberFormat="1" applyFont="1" applyFill="1" applyBorder="1" applyAlignment="1">
      <alignment horizontal="center" vertical="center"/>
    </xf>
    <xf numFmtId="58" fontId="2" fillId="3" borderId="1" xfId="0" applyNumberFormat="1" applyFont="1" applyFill="1" applyBorder="1" applyAlignment="1">
      <alignment horizontal="center" vertical="center"/>
    </xf>
    <xf numFmtId="182"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8" fillId="0" borderId="0" xfId="0" applyFont="1" applyFill="1" applyBorder="1" applyAlignment="1">
      <alignment vertical="center"/>
    </xf>
    <xf numFmtId="0" fontId="8" fillId="0" borderId="0" xfId="0" applyFont="1" applyFill="1" applyAlignment="1">
      <alignment vertical="center"/>
    </xf>
    <xf numFmtId="184" fontId="0" fillId="0" borderId="0" xfId="0" applyNumberFormat="1" applyFill="1" applyAlignment="1">
      <alignment vertical="center"/>
    </xf>
    <xf numFmtId="0" fontId="9" fillId="0" borderId="0" xfId="0" applyFont="1" applyFill="1" applyAlignment="1">
      <alignment vertical="center" wrapText="1"/>
    </xf>
    <xf numFmtId="0" fontId="10" fillId="0" borderId="0" xfId="0" applyFont="1" applyFill="1" applyAlignment="1">
      <alignment vertical="center" wrapText="1"/>
    </xf>
    <xf numFmtId="0" fontId="9" fillId="0" borderId="0" xfId="0" applyNumberFormat="1" applyFont="1" applyFill="1" applyAlignment="1">
      <alignment horizontal="right" vertical="center" wrapText="1"/>
    </xf>
    <xf numFmtId="0" fontId="9" fillId="0" borderId="0" xfId="0" applyFont="1" applyFill="1" applyAlignment="1">
      <alignment horizontal="center" vertical="center" wrapText="1"/>
    </xf>
    <xf numFmtId="0" fontId="9" fillId="0" borderId="0" xfId="0" applyFont="1" applyFill="1" applyAlignment="1">
      <alignment horizontal="left" vertical="center" wrapText="1"/>
    </xf>
    <xf numFmtId="0" fontId="10" fillId="0" borderId="1" xfId="0" applyFont="1" applyFill="1" applyBorder="1" applyAlignment="1">
      <alignment vertical="center" wrapText="1"/>
    </xf>
    <xf numFmtId="0" fontId="10" fillId="0" borderId="3" xfId="0" applyFont="1" applyFill="1" applyBorder="1" applyAlignment="1">
      <alignment horizontal="center" vertical="center" wrapText="1"/>
    </xf>
    <xf numFmtId="0" fontId="10" fillId="0" borderId="2" xfId="0" applyFont="1" applyFill="1" applyBorder="1" applyAlignment="1">
      <alignment vertical="center" wrapText="1"/>
    </xf>
    <xf numFmtId="58" fontId="0" fillId="0" borderId="1" xfId="0" applyNumberFormat="1" applyFont="1" applyFill="1" applyBorder="1" applyAlignment="1">
      <alignment horizontal="center" vertical="center" wrapText="1"/>
    </xf>
    <xf numFmtId="58" fontId="0" fillId="0" borderId="1" xfId="0" applyNumberFormat="1" applyFont="1" applyFill="1" applyBorder="1" applyAlignment="1">
      <alignment vertical="center" wrapText="1"/>
    </xf>
    <xf numFmtId="58" fontId="0" fillId="6" borderId="1" xfId="0" applyNumberFormat="1" applyFont="1" applyFill="1" applyBorder="1" applyAlignment="1">
      <alignment horizontal="center" vertical="center" wrapText="1"/>
    </xf>
    <xf numFmtId="0" fontId="10" fillId="8" borderId="2" xfId="0" applyFont="1" applyFill="1" applyBorder="1" applyAlignment="1">
      <alignment vertical="center" wrapText="1"/>
    </xf>
    <xf numFmtId="58" fontId="0" fillId="7" borderId="1" xfId="0" applyNumberFormat="1" applyFont="1" applyFill="1" applyBorder="1" applyAlignment="1">
      <alignment horizontal="center" vertical="center" wrapText="1"/>
    </xf>
    <xf numFmtId="0" fontId="9"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9" fillId="0" borderId="1" xfId="0" applyFont="1" applyFill="1" applyBorder="1" applyAlignment="1">
      <alignment vertical="center" wrapText="1"/>
    </xf>
    <xf numFmtId="0" fontId="11" fillId="0" borderId="1" xfId="0" applyFont="1" applyFill="1" applyBorder="1" applyAlignment="1">
      <alignment vertical="center" wrapText="1"/>
    </xf>
    <xf numFmtId="0" fontId="10" fillId="9" borderId="2" xfId="0" applyFont="1" applyFill="1" applyBorder="1" applyAlignment="1">
      <alignment vertical="center" wrapText="1"/>
    </xf>
    <xf numFmtId="0" fontId="8" fillId="0" borderId="1" xfId="3" applyNumberFormat="1" applyFont="1" applyFill="1" applyBorder="1" applyAlignment="1">
      <alignment horizontal="center" vertical="center" wrapText="1"/>
    </xf>
    <xf numFmtId="0" fontId="10" fillId="5" borderId="2" xfId="0" applyFont="1" applyFill="1" applyBorder="1" applyAlignment="1">
      <alignment vertical="center" wrapText="1"/>
    </xf>
    <xf numFmtId="0" fontId="10" fillId="7" borderId="2" xfId="0" applyFont="1" applyFill="1" applyBorder="1" applyAlignment="1">
      <alignment vertical="center" wrapText="1"/>
    </xf>
    <xf numFmtId="0" fontId="10" fillId="10" borderId="2" xfId="0" applyFont="1" applyFill="1" applyBorder="1" applyAlignment="1">
      <alignment vertical="center" wrapText="1"/>
    </xf>
    <xf numFmtId="0" fontId="8" fillId="11" borderId="2" xfId="0" applyFont="1" applyFill="1" applyBorder="1" applyAlignment="1">
      <alignment vertical="center" wrapText="1"/>
    </xf>
    <xf numFmtId="0" fontId="10" fillId="0" borderId="1" xfId="0" applyNumberFormat="1" applyFont="1" applyFill="1" applyBorder="1" applyAlignment="1">
      <alignment horizontal="center" vertical="center" wrapText="1"/>
    </xf>
    <xf numFmtId="0" fontId="8" fillId="0" borderId="1" xfId="0" applyNumberFormat="1" applyFont="1" applyFill="1" applyBorder="1" applyAlignment="1">
      <alignment horizontal="right" vertical="center" wrapText="1"/>
    </xf>
    <xf numFmtId="0" fontId="9" fillId="5" borderId="1" xfId="0" applyFont="1" applyFill="1" applyBorder="1" applyAlignment="1">
      <alignment horizontal="center" vertical="center" wrapText="1"/>
    </xf>
    <xf numFmtId="178" fontId="10" fillId="0" borderId="1" xfId="0" applyNumberFormat="1" applyFont="1" applyFill="1" applyBorder="1" applyAlignment="1">
      <alignment horizontal="center" vertical="center" wrapText="1"/>
    </xf>
    <xf numFmtId="177" fontId="10" fillId="0" borderId="1" xfId="0" applyNumberFormat="1" applyFont="1" applyFill="1" applyBorder="1" applyAlignment="1">
      <alignment horizontal="center" vertical="center" wrapText="1"/>
    </xf>
    <xf numFmtId="0" fontId="11" fillId="6" borderId="1"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9" fillId="0" borderId="1" xfId="0" applyFont="1" applyFill="1" applyBorder="1" applyAlignment="1">
      <alignment horizontal="left" vertical="center" wrapText="1"/>
    </xf>
    <xf numFmtId="0" fontId="8" fillId="0" borderId="7" xfId="0" applyFont="1" applyFill="1" applyBorder="1" applyAlignment="1">
      <alignment horizontal="left" vertical="center" wrapText="1"/>
    </xf>
    <xf numFmtId="0" fontId="0" fillId="0" borderId="7" xfId="0" applyFont="1" applyFill="1" applyBorder="1" applyAlignment="1">
      <alignment horizontal="left" vertical="center" wrapText="1"/>
    </xf>
    <xf numFmtId="0" fontId="9" fillId="0" borderId="7" xfId="0" applyFont="1" applyFill="1" applyBorder="1" applyAlignment="1">
      <alignment horizontal="left" vertical="center" wrapText="1"/>
    </xf>
    <xf numFmtId="0" fontId="0" fillId="0" borderId="7" xfId="0" applyFont="1" applyFill="1" applyBorder="1" applyAlignment="1">
      <alignment vertical="center" wrapText="1"/>
    </xf>
    <xf numFmtId="0" fontId="9" fillId="0" borderId="7" xfId="0" applyFont="1" applyFill="1" applyBorder="1" applyAlignment="1">
      <alignment vertical="center" wrapText="1"/>
    </xf>
    <xf numFmtId="0" fontId="0" fillId="4" borderId="7" xfId="0" applyFont="1" applyFill="1" applyBorder="1" applyAlignment="1">
      <alignment vertical="center" wrapText="1"/>
    </xf>
    <xf numFmtId="0" fontId="8" fillId="0" borderId="1" xfId="0" applyFont="1" applyFill="1" applyBorder="1" applyAlignment="1">
      <alignment horizontal="left" vertical="center" wrapText="1"/>
    </xf>
    <xf numFmtId="0" fontId="0" fillId="0" borderId="1" xfId="0" applyFont="1" applyFill="1" applyBorder="1" applyAlignment="1">
      <alignment vertical="center" wrapText="1"/>
    </xf>
    <xf numFmtId="0" fontId="0" fillId="0" borderId="1" xfId="0" applyFont="1" applyFill="1" applyBorder="1" applyAlignment="1">
      <alignment horizontal="left" vertical="center" wrapText="1"/>
    </xf>
    <xf numFmtId="0" fontId="0" fillId="0" borderId="1" xfId="0" applyNumberFormat="1" applyFont="1" applyFill="1" applyBorder="1" applyAlignment="1">
      <alignment horizontal="right" vertical="center" wrapText="1"/>
    </xf>
    <xf numFmtId="0" fontId="13" fillId="0" borderId="1" xfId="0" applyFont="1" applyFill="1" applyBorder="1" applyAlignment="1">
      <alignment vertical="center" wrapText="1"/>
    </xf>
    <xf numFmtId="58" fontId="9" fillId="0" borderId="1" xfId="0" applyNumberFormat="1" applyFont="1" applyFill="1" applyBorder="1" applyAlignment="1">
      <alignment horizontal="left" vertical="center" wrapText="1"/>
    </xf>
    <xf numFmtId="0" fontId="14" fillId="0" borderId="0" xfId="0" applyFont="1" applyFill="1" applyAlignment="1">
      <alignment horizontal="center" vertical="center" wrapText="1"/>
    </xf>
    <xf numFmtId="0" fontId="15" fillId="0" borderId="0" xfId="4" applyFont="1" applyAlignment="1">
      <alignment horizontal="center" vertical="center" wrapText="1"/>
    </xf>
    <xf numFmtId="58" fontId="9" fillId="0" borderId="0" xfId="0" applyNumberFormat="1" applyFont="1" applyFill="1" applyAlignment="1">
      <alignment horizontal="center" vertical="center" wrapText="1"/>
    </xf>
    <xf numFmtId="0" fontId="14" fillId="0" borderId="0" xfId="0" applyFont="1" applyFill="1" applyAlignment="1">
      <alignment vertical="center" wrapText="1"/>
    </xf>
    <xf numFmtId="0" fontId="2" fillId="0" borderId="0" xfId="0" applyFont="1" applyFill="1" applyAlignment="1">
      <alignment vertical="center" wrapText="1"/>
    </xf>
    <xf numFmtId="181" fontId="2" fillId="0" borderId="0" xfId="1" applyNumberFormat="1" applyFont="1" applyAlignment="1">
      <alignment vertical="center" wrapText="1"/>
    </xf>
    <xf numFmtId="186" fontId="2" fillId="0" borderId="0" xfId="1" applyNumberFormat="1" applyFont="1" applyAlignment="1">
      <alignment vertical="center" wrapText="1"/>
    </xf>
    <xf numFmtId="0" fontId="2" fillId="0" borderId="1" xfId="0" applyFont="1" applyFill="1" applyBorder="1" applyAlignment="1">
      <alignment horizontal="center" vertical="center" wrapText="1"/>
    </xf>
    <xf numFmtId="0" fontId="2" fillId="0" borderId="1" xfId="0" applyFont="1" applyFill="1" applyBorder="1" applyAlignment="1">
      <alignment vertical="center" wrapText="1"/>
    </xf>
    <xf numFmtId="0" fontId="2" fillId="0" borderId="1" xfId="0" applyFont="1" applyFill="1" applyBorder="1" applyAlignment="1">
      <alignment horizontal="left"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181" fontId="2" fillId="9" borderId="1" xfId="1" applyNumberFormat="1" applyFont="1" applyFill="1" applyBorder="1" applyAlignment="1">
      <alignment vertical="center" wrapText="1"/>
    </xf>
    <xf numFmtId="186" fontId="2" fillId="9" borderId="1" xfId="1" applyNumberFormat="1" applyFont="1" applyFill="1" applyBorder="1" applyAlignment="1">
      <alignment vertical="center" wrapText="1"/>
    </xf>
    <xf numFmtId="181" fontId="2" fillId="0" borderId="1" xfId="1" applyNumberFormat="1" applyFont="1" applyFill="1" applyBorder="1" applyAlignment="1">
      <alignment vertical="center" wrapText="1"/>
    </xf>
    <xf numFmtId="181" fontId="2" fillId="0" borderId="1" xfId="1" applyNumberFormat="1" applyFont="1" applyBorder="1" applyAlignment="1">
      <alignment vertical="center" wrapText="1"/>
    </xf>
    <xf numFmtId="186" fontId="2" fillId="0" borderId="1" xfId="1" applyNumberFormat="1" applyFont="1" applyBorder="1" applyAlignment="1">
      <alignment vertical="center" wrapText="1"/>
    </xf>
    <xf numFmtId="0" fontId="2" fillId="0" borderId="7" xfId="0" applyFont="1" applyFill="1" applyBorder="1" applyAlignment="1">
      <alignment horizontal="center" vertical="center" wrapText="1"/>
    </xf>
    <xf numFmtId="0" fontId="2" fillId="0" borderId="0" xfId="0" applyFont="1" applyFill="1" applyAlignment="1">
      <alignment horizontal="center" vertical="center" wrapText="1"/>
    </xf>
    <xf numFmtId="181" fontId="2" fillId="0" borderId="6" xfId="0" applyNumberFormat="1" applyFont="1" applyFill="1" applyBorder="1" applyAlignment="1">
      <alignment horizontal="center" vertical="center" wrapText="1"/>
    </xf>
    <xf numFmtId="181" fontId="2" fillId="0" borderId="0" xfId="0" applyNumberFormat="1" applyFont="1" applyFill="1" applyAlignment="1">
      <alignment horizontal="center" vertical="center" wrapText="1"/>
    </xf>
    <xf numFmtId="0" fontId="0" fillId="0" borderId="0" xfId="1" applyNumberFormat="1" applyFont="1">
      <alignment vertical="center"/>
    </xf>
    <xf numFmtId="185" fontId="0" fillId="0" borderId="0" xfId="1" applyFont="1">
      <alignment vertical="center"/>
    </xf>
    <xf numFmtId="0" fontId="18" fillId="0" borderId="8" xfId="0" applyFont="1" applyBorder="1" applyAlignment="1">
      <alignment vertical="center" wrapText="1"/>
    </xf>
    <xf numFmtId="0" fontId="18" fillId="0" borderId="8" xfId="0" applyFont="1" applyBorder="1" applyAlignment="1">
      <alignment horizontal="left" vertical="center" wrapText="1"/>
    </xf>
    <xf numFmtId="0" fontId="18" fillId="0" borderId="0" xfId="0" applyFont="1" applyAlignment="1">
      <alignment vertical="center" wrapText="1"/>
    </xf>
    <xf numFmtId="181" fontId="18" fillId="13" borderId="8" xfId="0" applyNumberFormat="1" applyFont="1" applyFill="1" applyBorder="1" applyAlignment="1">
      <alignment vertical="center" wrapText="1"/>
    </xf>
    <xf numFmtId="0" fontId="18" fillId="0" borderId="8" xfId="0" applyFont="1" applyBorder="1" applyAlignment="1">
      <alignment horizontal="center" vertical="center"/>
    </xf>
    <xf numFmtId="179" fontId="2" fillId="13" borderId="8" xfId="0" applyNumberFormat="1" applyFont="1" applyFill="1" applyBorder="1" applyAlignment="1">
      <alignment horizontal="center" vertical="center"/>
    </xf>
    <xf numFmtId="181" fontId="18" fillId="0" borderId="8" xfId="0" applyNumberFormat="1" applyFont="1" applyBorder="1" applyAlignment="1">
      <alignment vertical="center" wrapText="1"/>
    </xf>
    <xf numFmtId="181" fontId="19" fillId="13" borderId="8" xfId="0" applyNumberFormat="1" applyFont="1" applyFill="1" applyBorder="1" applyAlignment="1">
      <alignment vertical="center" wrapText="1"/>
    </xf>
    <xf numFmtId="179" fontId="2" fillId="13" borderId="8" xfId="0" applyNumberFormat="1" applyFont="1" applyFill="1" applyBorder="1" applyAlignment="1">
      <alignment horizontal="center" vertical="center" wrapText="1"/>
    </xf>
    <xf numFmtId="179" fontId="5"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vertical="center" wrapText="1"/>
    </xf>
    <xf numFmtId="179" fontId="18" fillId="0" borderId="8" xfId="0" applyNumberFormat="1" applyFont="1" applyBorder="1" applyAlignment="1">
      <alignment vertical="center" wrapText="1"/>
    </xf>
    <xf numFmtId="179" fontId="18" fillId="13" borderId="8" xfId="0" applyNumberFormat="1" applyFont="1" applyFill="1" applyBorder="1" applyAlignment="1">
      <alignment horizontal="center" vertical="center"/>
    </xf>
    <xf numFmtId="179" fontId="5" fillId="13" borderId="8" xfId="0" applyNumberFormat="1" applyFont="1" applyFill="1" applyBorder="1" applyAlignment="1">
      <alignment horizontal="center" vertical="center"/>
    </xf>
    <xf numFmtId="181" fontId="18" fillId="0" borderId="0" xfId="0" applyNumberFormat="1" applyFont="1" applyAlignment="1">
      <alignment vertical="center" wrapText="1"/>
    </xf>
    <xf numFmtId="179" fontId="18" fillId="0" borderId="0" xfId="0" applyNumberFormat="1" applyFont="1" applyAlignment="1">
      <alignment vertical="center" wrapText="1"/>
    </xf>
    <xf numFmtId="0" fontId="0" fillId="0" borderId="1" xfId="0" applyFont="1" applyBorder="1" applyAlignment="1">
      <alignment horizontal="center" vertical="center"/>
    </xf>
    <xf numFmtId="0" fontId="8" fillId="0" borderId="1" xfId="0" applyFont="1" applyBorder="1" applyAlignment="1">
      <alignment horizontal="center" vertical="center"/>
    </xf>
    <xf numFmtId="0" fontId="0" fillId="0" borderId="1" xfId="0" applyFont="1" applyFill="1" applyBorder="1" applyAlignment="1">
      <alignment horizontal="center" vertical="center"/>
    </xf>
    <xf numFmtId="0" fontId="8" fillId="0" borderId="1" xfId="1" applyNumberFormat="1" applyFont="1" applyBorder="1" applyAlignment="1">
      <alignment horizontal="center" vertical="center"/>
    </xf>
    <xf numFmtId="185" fontId="8" fillId="0" borderId="1" xfId="1" applyFont="1" applyBorder="1" applyAlignment="1">
      <alignment horizontal="center" vertical="center"/>
    </xf>
    <xf numFmtId="0" fontId="0" fillId="14" borderId="1" xfId="1" applyNumberFormat="1" applyFont="1" applyFill="1" applyBorder="1">
      <alignment vertical="center"/>
    </xf>
    <xf numFmtId="185" fontId="0" fillId="14" borderId="1" xfId="1" applyFont="1" applyFill="1" applyBorder="1">
      <alignment vertical="center"/>
    </xf>
    <xf numFmtId="185" fontId="18" fillId="0" borderId="1" xfId="1" applyFont="1" applyBorder="1" applyAlignment="1">
      <alignment vertical="center" wrapText="1"/>
    </xf>
    <xf numFmtId="185" fontId="0" fillId="0" borderId="1" xfId="1" applyFont="1" applyBorder="1">
      <alignment vertical="center"/>
    </xf>
    <xf numFmtId="185" fontId="0" fillId="0" borderId="1" xfId="1" applyNumberFormat="1" applyFont="1" applyBorder="1">
      <alignment vertical="center"/>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181" fontId="18" fillId="0" borderId="12" xfId="0" applyNumberFormat="1" applyFont="1" applyBorder="1" applyAlignment="1">
      <alignment horizontal="center" vertical="center" wrapText="1"/>
    </xf>
    <xf numFmtId="179" fontId="18" fillId="0" borderId="8" xfId="0" applyNumberFormat="1" applyFont="1" applyBorder="1" applyAlignment="1">
      <alignment horizontal="center" vertical="center" wrapText="1"/>
    </xf>
    <xf numFmtId="179" fontId="5" fillId="13" borderId="8" xfId="0" applyNumberFormat="1" applyFont="1" applyFill="1" applyBorder="1" applyAlignment="1">
      <alignment vertical="center" wrapText="1"/>
    </xf>
    <xf numFmtId="181" fontId="18" fillId="13" borderId="4" xfId="0" applyNumberFormat="1" applyFont="1" applyFill="1" applyBorder="1" applyAlignment="1">
      <alignment vertical="center" wrapText="1"/>
    </xf>
    <xf numFmtId="181" fontId="5" fillId="13" borderId="8" xfId="0" applyNumberFormat="1" applyFont="1" applyFill="1" applyBorder="1" applyAlignment="1">
      <alignment vertical="center" wrapText="1"/>
    </xf>
    <xf numFmtId="0" fontId="21" fillId="0" borderId="0" xfId="0" applyFont="1" applyFill="1" applyAlignment="1">
      <alignment horizontal="center" vertical="center" wrapText="1"/>
    </xf>
    <xf numFmtId="0" fontId="22" fillId="0" borderId="0" xfId="0" applyFont="1" applyFill="1" applyAlignment="1">
      <alignment vertical="center" wrapText="1"/>
    </xf>
    <xf numFmtId="0" fontId="21" fillId="0" borderId="0" xfId="0" applyFont="1" applyFill="1" applyAlignment="1">
      <alignment vertical="center" wrapText="1"/>
    </xf>
    <xf numFmtId="184" fontId="22" fillId="0" borderId="0" xfId="0" applyNumberFormat="1" applyFont="1" applyFill="1" applyAlignment="1">
      <alignment vertical="center" wrapText="1"/>
    </xf>
    <xf numFmtId="10" fontId="22" fillId="0" borderId="0" xfId="2" applyNumberFormat="1" applyFont="1" applyFill="1" applyAlignment="1">
      <alignment vertical="center" wrapText="1"/>
    </xf>
    <xf numFmtId="181" fontId="22" fillId="0" borderId="0" xfId="1" applyNumberFormat="1" applyFont="1" applyAlignment="1">
      <alignment vertical="center" wrapText="1"/>
    </xf>
    <xf numFmtId="184" fontId="22" fillId="0" borderId="0" xfId="1" applyNumberFormat="1" applyFont="1" applyAlignment="1">
      <alignment vertical="center" wrapText="1"/>
    </xf>
    <xf numFmtId="10" fontId="22" fillId="0" borderId="0" xfId="2" applyNumberFormat="1" applyFont="1" applyAlignment="1">
      <alignment vertical="center" wrapText="1"/>
    </xf>
    <xf numFmtId="0" fontId="22" fillId="0" borderId="1" xfId="0" applyFont="1" applyFill="1" applyBorder="1" applyAlignment="1" applyProtection="1">
      <alignment vertical="center" wrapText="1"/>
    </xf>
    <xf numFmtId="181" fontId="23" fillId="0" borderId="1" xfId="1" applyNumberFormat="1" applyFont="1" applyFill="1" applyBorder="1" applyAlignment="1">
      <alignment vertical="center" wrapText="1"/>
    </xf>
    <xf numFmtId="10" fontId="22" fillId="0" borderId="1" xfId="2" applyNumberFormat="1" applyFont="1" applyFill="1" applyBorder="1" applyAlignment="1">
      <alignment vertical="center" wrapText="1"/>
    </xf>
    <xf numFmtId="0" fontId="22" fillId="0" borderId="1" xfId="0" applyFont="1" applyFill="1" applyBorder="1" applyAlignment="1" applyProtection="1">
      <alignment horizontal="left" vertical="center" wrapText="1"/>
    </xf>
    <xf numFmtId="184" fontId="22" fillId="0" borderId="1" xfId="0" applyNumberFormat="1" applyFont="1" applyFill="1" applyBorder="1" applyAlignment="1" applyProtection="1">
      <alignment horizontal="center" vertical="center" wrapText="1"/>
    </xf>
    <xf numFmtId="10" fontId="22" fillId="0" borderId="1" xfId="2" applyNumberFormat="1" applyFont="1" applyFill="1" applyBorder="1" applyAlignment="1" applyProtection="1">
      <alignment horizontal="center" vertical="center" wrapText="1"/>
    </xf>
    <xf numFmtId="181" fontId="22" fillId="3" borderId="1" xfId="1" applyNumberFormat="1" applyFont="1" applyFill="1" applyBorder="1" applyAlignment="1">
      <alignment horizontal="center" vertical="center" wrapText="1"/>
    </xf>
    <xf numFmtId="181" fontId="22" fillId="0" borderId="1" xfId="1" applyNumberFormat="1" applyFont="1" applyBorder="1" applyAlignment="1">
      <alignment vertical="center" wrapText="1"/>
    </xf>
    <xf numFmtId="181" fontId="22" fillId="0" borderId="1" xfId="1" applyNumberFormat="1" applyFont="1" applyFill="1" applyBorder="1" applyAlignment="1">
      <alignment vertical="center" wrapText="1"/>
    </xf>
    <xf numFmtId="181" fontId="22" fillId="3" borderId="1" xfId="1" applyNumberFormat="1" applyFont="1" applyFill="1" applyBorder="1" applyAlignment="1">
      <alignment vertical="center" wrapText="1"/>
    </xf>
    <xf numFmtId="181" fontId="23" fillId="3" borderId="1" xfId="1" applyNumberFormat="1" applyFont="1" applyFill="1" applyBorder="1" applyAlignment="1">
      <alignment vertical="center" wrapText="1"/>
    </xf>
    <xf numFmtId="184" fontId="22" fillId="3" borderId="1" xfId="1" applyNumberFormat="1" applyFont="1" applyFill="1" applyBorder="1" applyAlignment="1">
      <alignment horizontal="center" vertical="center" wrapText="1"/>
    </xf>
    <xf numFmtId="10" fontId="22" fillId="3" borderId="1" xfId="2" applyNumberFormat="1" applyFont="1" applyFill="1" applyBorder="1" applyAlignment="1">
      <alignment horizontal="center" vertical="center" wrapText="1"/>
    </xf>
    <xf numFmtId="184" fontId="22" fillId="0" borderId="1" xfId="1" applyNumberFormat="1" applyFont="1" applyBorder="1" applyAlignment="1">
      <alignment vertical="center" wrapText="1"/>
    </xf>
    <xf numFmtId="10" fontId="23" fillId="7" borderId="1" xfId="2" applyNumberFormat="1" applyFont="1" applyFill="1" applyBorder="1" applyAlignment="1">
      <alignment vertical="center" wrapText="1"/>
    </xf>
    <xf numFmtId="10" fontId="23" fillId="0" borderId="1" xfId="2" applyNumberFormat="1" applyFont="1" applyFill="1" applyBorder="1" applyAlignment="1">
      <alignment vertical="center" wrapText="1"/>
    </xf>
    <xf numFmtId="10" fontId="24" fillId="0" borderId="1" xfId="2" applyNumberFormat="1" applyFont="1" applyFill="1" applyBorder="1" applyAlignment="1">
      <alignment vertical="center" wrapText="1"/>
    </xf>
    <xf numFmtId="181" fontId="25" fillId="0" borderId="1" xfId="1" applyNumberFormat="1" applyFont="1" applyFill="1" applyBorder="1" applyAlignment="1">
      <alignment vertical="center" wrapText="1"/>
    </xf>
    <xf numFmtId="184" fontId="23" fillId="0" borderId="1" xfId="1" applyNumberFormat="1" applyFont="1" applyBorder="1" applyAlignment="1">
      <alignment vertical="center" wrapText="1"/>
    </xf>
    <xf numFmtId="180" fontId="1" fillId="0" borderId="0" xfId="0" applyNumberFormat="1" applyFont="1" applyFill="1" applyBorder="1" applyAlignment="1">
      <alignment horizontal="center" vertical="center"/>
    </xf>
    <xf numFmtId="184" fontId="1" fillId="0" borderId="0"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0" fontId="2" fillId="9" borderId="1" xfId="0" applyNumberFormat="1" applyFont="1" applyFill="1" applyBorder="1" applyAlignment="1">
      <alignment horizontal="center" vertical="center"/>
    </xf>
    <xf numFmtId="0" fontId="2" fillId="9" borderId="1" xfId="0" applyFont="1" applyFill="1" applyBorder="1" applyAlignment="1">
      <alignment horizontal="center" vertical="center"/>
    </xf>
    <xf numFmtId="184" fontId="2" fillId="9"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4" fontId="2" fillId="0" borderId="3"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9" borderId="1" xfId="0" applyNumberFormat="1" applyFont="1" applyFill="1" applyBorder="1" applyAlignment="1">
      <alignment horizontal="center" vertical="center"/>
    </xf>
    <xf numFmtId="180" fontId="5" fillId="0" borderId="1" xfId="0" applyNumberFormat="1" applyFont="1" applyFill="1" applyBorder="1" applyAlignment="1">
      <alignment horizontal="center" vertical="center"/>
    </xf>
    <xf numFmtId="184" fontId="5" fillId="0" borderId="1" xfId="1" applyNumberFormat="1" applyFont="1" applyFill="1" applyBorder="1" applyAlignment="1">
      <alignment horizontal="center" vertical="center"/>
    </xf>
    <xf numFmtId="181" fontId="5" fillId="0" borderId="1" xfId="1" applyNumberFormat="1" applyFont="1" applyFill="1" applyBorder="1" applyAlignment="1">
      <alignment horizontal="center" vertical="center"/>
    </xf>
    <xf numFmtId="184" fontId="4" fillId="0" borderId="2" xfId="0" applyNumberFormat="1" applyFont="1" applyFill="1" applyBorder="1" applyAlignment="1">
      <alignment horizontal="center" vertical="center"/>
    </xf>
    <xf numFmtId="184" fontId="2" fillId="4" borderId="1" xfId="1" applyNumberFormat="1" applyFont="1" applyFill="1" applyBorder="1" applyAlignment="1">
      <alignment horizontal="center" vertical="center"/>
    </xf>
    <xf numFmtId="58" fontId="0" fillId="9" borderId="1"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58" fontId="0" fillId="5" borderId="1" xfId="0" applyNumberFormat="1" applyFont="1" applyFill="1" applyBorder="1" applyAlignment="1">
      <alignment horizontal="center" vertical="center" wrapText="1"/>
    </xf>
    <xf numFmtId="0" fontId="9" fillId="9" borderId="0" xfId="0" applyFont="1" applyFill="1" applyAlignment="1">
      <alignment horizontal="center" vertical="center" wrapText="1"/>
    </xf>
    <xf numFmtId="0" fontId="8" fillId="0" borderId="1" xfId="3" applyNumberFormat="1" applyFont="1" applyFill="1" applyBorder="1" applyAlignment="1">
      <alignment horizontal="right" vertical="center" wrapText="1"/>
    </xf>
    <xf numFmtId="177" fontId="10" fillId="0" borderId="0" xfId="0" applyNumberFormat="1" applyFont="1" applyFill="1" applyAlignment="1">
      <alignment horizontal="center" vertical="center" wrapText="1"/>
    </xf>
    <xf numFmtId="177" fontId="9" fillId="0" borderId="0" xfId="0" applyNumberFormat="1" applyFont="1" applyFill="1" applyAlignment="1">
      <alignment horizontal="center" vertical="center" wrapText="1"/>
    </xf>
    <xf numFmtId="0" fontId="9" fillId="0" borderId="0" xfId="0" applyFont="1" applyFill="1" applyBorder="1" applyAlignment="1">
      <alignment vertical="center" wrapText="1"/>
    </xf>
    <xf numFmtId="0" fontId="9" fillId="0" borderId="0" xfId="0" applyFont="1" applyFill="1" applyBorder="1" applyAlignment="1">
      <alignment horizontal="left" vertical="center" wrapText="1"/>
    </xf>
    <xf numFmtId="0" fontId="14" fillId="0" borderId="1" xfId="0" applyFont="1" applyFill="1" applyBorder="1" applyAlignment="1">
      <alignment vertical="center" wrapText="1"/>
    </xf>
    <xf numFmtId="0" fontId="14" fillId="0" borderId="0" xfId="0" applyFont="1" applyFill="1" applyAlignment="1">
      <alignment horizontal="left" vertical="center" wrapText="1"/>
    </xf>
    <xf numFmtId="176" fontId="8" fillId="0" borderId="1" xfId="3" applyNumberFormat="1" applyFont="1" applyFill="1" applyBorder="1" applyAlignment="1">
      <alignment horizontal="center" vertical="center" wrapText="1"/>
    </xf>
    <xf numFmtId="176" fontId="8" fillId="0" borderId="1" xfId="0" applyNumberFormat="1" applyFont="1" applyFill="1" applyBorder="1" applyAlignment="1">
      <alignment horizontal="center" vertical="center" wrapText="1"/>
    </xf>
    <xf numFmtId="178" fontId="10" fillId="0" borderId="0" xfId="0" applyNumberFormat="1" applyFont="1" applyFill="1" applyAlignment="1">
      <alignment horizontal="center" vertical="center" wrapText="1"/>
    </xf>
    <xf numFmtId="178" fontId="9" fillId="0" borderId="0" xfId="0" applyNumberFormat="1" applyFont="1" applyFill="1" applyAlignment="1">
      <alignment horizontal="center" vertical="center" wrapText="1"/>
    </xf>
    <xf numFmtId="0" fontId="10" fillId="0" borderId="1" xfId="0" applyFont="1" applyFill="1" applyBorder="1" applyAlignment="1">
      <alignment horizontal="center" vertical="center" wrapText="1"/>
    </xf>
    <xf numFmtId="0" fontId="8" fillId="0" borderId="1" xfId="0" applyFont="1" applyFill="1" applyBorder="1" applyAlignment="1">
      <alignment vertical="center" wrapText="1"/>
    </xf>
    <xf numFmtId="0" fontId="9" fillId="0" borderId="0" xfId="0" applyFont="1" applyAlignment="1">
      <alignment horizontal="center" vertical="center" wrapText="1"/>
    </xf>
    <xf numFmtId="176" fontId="0" fillId="0" borderId="1" xfId="0" applyNumberFormat="1" applyFont="1" applyFill="1" applyBorder="1" applyAlignment="1">
      <alignment horizontal="center" vertical="center" wrapText="1"/>
    </xf>
    <xf numFmtId="0" fontId="10" fillId="0" borderId="3" xfId="0" applyFont="1" applyBorder="1" applyAlignment="1">
      <alignment horizontal="center" vertical="center" wrapText="1"/>
    </xf>
    <xf numFmtId="58" fontId="0" fillId="0" borderId="1" xfId="0" applyNumberFormat="1" applyFont="1" applyBorder="1" applyAlignment="1">
      <alignment horizontal="center" vertical="center" wrapText="1"/>
    </xf>
    <xf numFmtId="0" fontId="8" fillId="0" borderId="7" xfId="0" applyFont="1" applyBorder="1" applyAlignment="1">
      <alignment horizontal="left" vertical="center" wrapText="1"/>
    </xf>
    <xf numFmtId="0" fontId="0" fillId="0" borderId="7" xfId="0" applyFont="1" applyBorder="1" applyAlignment="1">
      <alignment horizontal="left" vertical="center" wrapText="1"/>
    </xf>
    <xf numFmtId="0" fontId="0" fillId="0" borderId="1" xfId="0" applyFont="1" applyBorder="1" applyAlignment="1">
      <alignment horizontal="left" vertical="center" wrapText="1"/>
    </xf>
    <xf numFmtId="0" fontId="9" fillId="0" borderId="1" xfId="0" applyFont="1" applyBorder="1" applyAlignment="1">
      <alignment horizontal="left" vertical="center" wrapText="1"/>
    </xf>
    <xf numFmtId="0" fontId="0" fillId="9" borderId="1" xfId="0" applyFont="1" applyFill="1" applyBorder="1" applyAlignment="1">
      <alignment horizontal="left" vertical="center" wrapText="1"/>
    </xf>
    <xf numFmtId="0" fontId="8" fillId="0" borderId="1" xfId="0" applyFont="1" applyBorder="1" applyAlignment="1">
      <alignment horizontal="left" vertical="center" wrapText="1"/>
    </xf>
    <xf numFmtId="0" fontId="0" fillId="0" borderId="1" xfId="0" applyFont="1" applyBorder="1" applyAlignment="1">
      <alignment vertical="center" wrapText="1"/>
    </xf>
    <xf numFmtId="0" fontId="9" fillId="0" borderId="1" xfId="0" applyFont="1" applyBorder="1" applyAlignment="1">
      <alignment vertical="center" wrapText="1"/>
    </xf>
    <xf numFmtId="0" fontId="0" fillId="4" borderId="1" xfId="0" applyFont="1" applyFill="1" applyBorder="1" applyAlignment="1">
      <alignment vertical="center" wrapText="1"/>
    </xf>
    <xf numFmtId="0" fontId="13" fillId="0" borderId="1" xfId="0" applyFont="1" applyBorder="1" applyAlignment="1">
      <alignment vertical="center" wrapText="1"/>
    </xf>
    <xf numFmtId="58" fontId="1" fillId="0" borderId="1" xfId="0" quotePrefix="1" applyNumberFormat="1" applyFont="1" applyFill="1" applyBorder="1" applyAlignment="1">
      <alignment horizontal="center" vertical="center"/>
    </xf>
    <xf numFmtId="181" fontId="31" fillId="0" borderId="1" xfId="1" applyNumberFormat="1" applyFont="1" applyFill="1" applyBorder="1" applyAlignment="1">
      <alignment horizontal="center" vertical="center"/>
    </xf>
    <xf numFmtId="0" fontId="31" fillId="0" borderId="1" xfId="0" applyFont="1" applyFill="1" applyBorder="1" applyAlignment="1">
      <alignment horizontal="center" vertical="center"/>
    </xf>
    <xf numFmtId="184" fontId="31" fillId="0" borderId="1" xfId="1" applyNumberFormat="1" applyFont="1" applyFill="1" applyBorder="1" applyAlignment="1">
      <alignment horizontal="center" vertical="center"/>
    </xf>
    <xf numFmtId="184" fontId="31" fillId="0" borderId="1" xfId="0" applyNumberFormat="1" applyFont="1" applyFill="1" applyBorder="1" applyAlignment="1">
      <alignment horizontal="center" vertical="center"/>
    </xf>
    <xf numFmtId="180" fontId="31" fillId="0" borderId="1" xfId="0" applyNumberFormat="1" applyFont="1" applyFill="1" applyBorder="1" applyAlignment="1">
      <alignment horizontal="center" vertical="center"/>
    </xf>
    <xf numFmtId="184" fontId="31" fillId="0" borderId="2" xfId="0" applyNumberFormat="1" applyFont="1" applyFill="1" applyBorder="1" applyAlignment="1">
      <alignment horizontal="center" vertical="center"/>
    </xf>
    <xf numFmtId="185" fontId="2" fillId="0" borderId="0" xfId="1" applyFont="1" applyFill="1" applyAlignment="1">
      <alignment horizontal="center" vertical="center"/>
    </xf>
    <xf numFmtId="0" fontId="31" fillId="0" borderId="3" xfId="0" applyFont="1" applyFill="1" applyBorder="1" applyAlignment="1">
      <alignment horizontal="center" vertical="center"/>
    </xf>
    <xf numFmtId="58" fontId="35" fillId="7" borderId="1" xfId="0" applyNumberFormat="1" applyFont="1" applyFill="1" applyBorder="1" applyAlignment="1">
      <alignment horizontal="center" vertical="center" wrapText="1"/>
    </xf>
    <xf numFmtId="58" fontId="35" fillId="9" borderId="1" xfId="0" applyNumberFormat="1" applyFont="1" applyFill="1" applyBorder="1" applyAlignment="1">
      <alignment horizontal="center" vertical="center" wrapText="1"/>
    </xf>
    <xf numFmtId="58" fontId="35" fillId="5" borderId="1" xfId="0" applyNumberFormat="1" applyFont="1" applyFill="1" applyBorder="1" applyAlignment="1">
      <alignment horizontal="center" vertical="center" wrapText="1"/>
    </xf>
    <xf numFmtId="58" fontId="35" fillId="9" borderId="1" xfId="0" applyNumberFormat="1" applyFont="1" applyFill="1" applyBorder="1" applyAlignment="1">
      <alignment horizontal="center" vertical="center" wrapText="1"/>
    </xf>
    <xf numFmtId="58" fontId="35" fillId="9" borderId="3" xfId="0" applyNumberFormat="1" applyFont="1" applyFill="1" applyBorder="1" applyAlignment="1">
      <alignment horizontal="center" vertical="center" wrapText="1"/>
    </xf>
    <xf numFmtId="58" fontId="35" fillId="7" borderId="1" xfId="0" applyNumberFormat="1" applyFont="1" applyFill="1" applyBorder="1" applyAlignment="1">
      <alignment horizontal="center" vertical="center" wrapText="1"/>
    </xf>
    <xf numFmtId="58" fontId="35" fillId="11" borderId="1" xfId="0" applyNumberFormat="1" applyFont="1" applyFill="1" applyBorder="1" applyAlignment="1">
      <alignment horizontal="center" vertical="center" wrapText="1"/>
    </xf>
    <xf numFmtId="0" fontId="35" fillId="0" borderId="7" xfId="0" applyFont="1" applyFill="1" applyBorder="1" applyAlignment="1">
      <alignment vertical="center" wrapText="1"/>
    </xf>
    <xf numFmtId="0" fontId="36" fillId="0" borderId="7" xfId="0" applyFont="1" applyFill="1" applyBorder="1" applyAlignment="1">
      <alignment horizontal="left" vertical="center" wrapText="1"/>
    </xf>
    <xf numFmtId="0" fontId="35" fillId="0" borderId="7" xfId="0" applyFont="1" applyFill="1" applyBorder="1" applyAlignment="1">
      <alignment horizontal="left" vertical="center" wrapText="1"/>
    </xf>
    <xf numFmtId="0" fontId="37" fillId="9" borderId="1" xfId="0" applyFont="1" applyFill="1" applyBorder="1" applyAlignment="1">
      <alignment horizontal="center" vertical="center" wrapText="1"/>
    </xf>
    <xf numFmtId="0" fontId="37" fillId="7" borderId="1" xfId="0" applyFont="1" applyFill="1" applyBorder="1" applyAlignment="1">
      <alignment horizontal="center" vertical="center" wrapText="1"/>
    </xf>
    <xf numFmtId="58" fontId="35" fillId="9" borderId="3" xfId="0" applyNumberFormat="1" applyFont="1" applyFill="1" applyBorder="1" applyAlignment="1">
      <alignment horizontal="center" vertical="center" wrapText="1"/>
    </xf>
    <xf numFmtId="58" fontId="31" fillId="0" borderId="1" xfId="0" applyNumberFormat="1" applyFont="1" applyFill="1" applyBorder="1" applyAlignment="1">
      <alignment horizontal="center" vertical="center"/>
    </xf>
    <xf numFmtId="180" fontId="31" fillId="0" borderId="1" xfId="0" applyNumberFormat="1" applyFont="1" applyFill="1" applyBorder="1" applyAlignment="1">
      <alignment vertical="center"/>
    </xf>
    <xf numFmtId="0" fontId="9" fillId="0" borderId="0" xfId="0" applyFont="1" applyFill="1" applyAlignment="1">
      <alignment horizontal="left" vertical="center" wrapText="1"/>
    </xf>
    <xf numFmtId="0" fontId="9" fillId="7" borderId="1" xfId="0" applyFont="1" applyFill="1" applyBorder="1" applyAlignment="1">
      <alignment horizontal="center" vertical="center" wrapText="1"/>
    </xf>
    <xf numFmtId="58" fontId="29" fillId="9" borderId="1" xfId="0" applyNumberFormat="1" applyFont="1" applyFill="1" applyBorder="1" applyAlignment="1">
      <alignment horizontal="center" vertical="center" wrapText="1"/>
    </xf>
    <xf numFmtId="0" fontId="29" fillId="0" borderId="7" xfId="0" applyFont="1" applyFill="1" applyBorder="1" applyAlignment="1">
      <alignment horizontal="left" vertical="center" wrapText="1"/>
    </xf>
    <xf numFmtId="0" fontId="29" fillId="0" borderId="7" xfId="0" applyFont="1" applyFill="1" applyBorder="1" applyAlignment="1">
      <alignment vertical="center" wrapText="1"/>
    </xf>
    <xf numFmtId="0" fontId="11" fillId="9"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29" fillId="7" borderId="1" xfId="0" applyNumberFormat="1" applyFont="1" applyFill="1" applyBorder="1" applyAlignment="1">
      <alignment horizontal="center" vertical="center" wrapText="1"/>
    </xf>
    <xf numFmtId="58" fontId="29" fillId="5" borderId="1" xfId="0" applyNumberFormat="1" applyFont="1" applyFill="1" applyBorder="1" applyAlignment="1">
      <alignment horizontal="center" vertical="center" wrapText="1"/>
    </xf>
    <xf numFmtId="0" fontId="29" fillId="0" borderId="1" xfId="0" applyFont="1" applyFill="1" applyBorder="1" applyAlignment="1">
      <alignment vertical="center" wrapText="1"/>
    </xf>
    <xf numFmtId="0" fontId="29" fillId="0" borderId="1" xfId="0" applyFont="1" applyFill="1" applyBorder="1" applyAlignment="1">
      <alignment horizontal="left" vertical="center" wrapText="1"/>
    </xf>
    <xf numFmtId="0" fontId="11" fillId="15" borderId="3" xfId="0" applyFont="1" applyFill="1" applyBorder="1" applyAlignment="1">
      <alignment horizontal="center" vertical="center" wrapText="1"/>
    </xf>
    <xf numFmtId="0" fontId="11" fillId="15" borderId="5" xfId="0" applyFont="1" applyFill="1" applyBorder="1" applyAlignment="1">
      <alignment horizontal="center" vertical="center" wrapText="1"/>
    </xf>
    <xf numFmtId="0" fontId="11" fillId="15" borderId="4" xfId="0" applyFont="1" applyFill="1" applyBorder="1" applyAlignment="1">
      <alignment horizontal="center" vertical="center" wrapText="1"/>
    </xf>
    <xf numFmtId="0" fontId="11" fillId="7" borderId="3" xfId="0" applyFont="1" applyFill="1" applyBorder="1" applyAlignment="1">
      <alignment horizontal="center" vertical="center" wrapText="1"/>
    </xf>
    <xf numFmtId="0" fontId="11" fillId="7" borderId="4"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1" fillId="11" borderId="3" xfId="0" applyFont="1" applyFill="1" applyBorder="1" applyAlignment="1">
      <alignment horizontal="center" vertical="center" wrapText="1"/>
    </xf>
    <xf numFmtId="0" fontId="11" fillId="11" borderId="5" xfId="0" applyFont="1" applyFill="1" applyBorder="1" applyAlignment="1">
      <alignment horizontal="center" vertical="center" wrapText="1"/>
    </xf>
    <xf numFmtId="0" fontId="11" fillId="11" borderId="4" xfId="0" applyFont="1" applyFill="1" applyBorder="1" applyAlignment="1">
      <alignment horizontal="center" vertical="center" wrapText="1"/>
    </xf>
    <xf numFmtId="58" fontId="11" fillId="5" borderId="3" xfId="0" applyNumberFormat="1" applyFont="1" applyFill="1" applyBorder="1" applyAlignment="1">
      <alignment horizontal="center" vertical="center" wrapText="1"/>
    </xf>
    <xf numFmtId="58" fontId="11" fillId="5" borderId="5" xfId="0" applyNumberFormat="1" applyFont="1" applyFill="1" applyBorder="1" applyAlignment="1">
      <alignment horizontal="center" vertical="center" wrapText="1"/>
    </xf>
    <xf numFmtId="58" fontId="11" fillId="5" borderId="4" xfId="0" applyNumberFormat="1"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2" fillId="10" borderId="1" xfId="0" applyFont="1" applyFill="1" applyBorder="1" applyAlignment="1">
      <alignment horizontal="center" vertical="center" wrapText="1"/>
    </xf>
    <xf numFmtId="0" fontId="10" fillId="0" borderId="0" xfId="0" applyFont="1" applyFill="1" applyAlignment="1">
      <alignment horizontal="left" vertical="center" wrapText="1"/>
    </xf>
    <xf numFmtId="0" fontId="9" fillId="0" borderId="0" xfId="0" applyFont="1" applyFill="1" applyAlignment="1">
      <alignment horizontal="left" vertical="center" wrapText="1"/>
    </xf>
    <xf numFmtId="0" fontId="10" fillId="9"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8" fillId="11" borderId="1" xfId="0" applyFont="1" applyFill="1" applyBorder="1" applyAlignment="1">
      <alignment horizontal="center" vertical="center" wrapText="1"/>
    </xf>
    <xf numFmtId="0" fontId="10" fillId="0" borderId="1" xfId="0" applyFont="1" applyFill="1" applyBorder="1" applyAlignment="1">
      <alignment horizontal="center" vertical="center" wrapText="1"/>
    </xf>
    <xf numFmtId="58" fontId="0" fillId="5" borderId="3" xfId="0" applyNumberFormat="1" applyFont="1" applyFill="1" applyBorder="1" applyAlignment="1">
      <alignment horizontal="center" vertical="center" wrapText="1"/>
    </xf>
    <xf numFmtId="58" fontId="0" fillId="5" borderId="5" xfId="0" applyNumberFormat="1" applyFont="1" applyFill="1" applyBorder="1" applyAlignment="1">
      <alignment horizontal="center" vertical="center" wrapText="1"/>
    </xf>
    <xf numFmtId="58" fontId="0" fillId="5" borderId="4" xfId="0" applyNumberFormat="1" applyFont="1" applyFill="1" applyBorder="1" applyAlignment="1">
      <alignment horizontal="center" vertical="center" wrapText="1"/>
    </xf>
    <xf numFmtId="58" fontId="0" fillId="7" borderId="3" xfId="0" applyNumberFormat="1" applyFont="1" applyFill="1" applyBorder="1" applyAlignment="1">
      <alignment horizontal="center" vertical="center" wrapText="1"/>
    </xf>
    <xf numFmtId="58" fontId="0" fillId="7" borderId="4" xfId="0" applyNumberFormat="1" applyFont="1" applyFill="1" applyBorder="1" applyAlignment="1">
      <alignment horizontal="center" vertical="center" wrapText="1"/>
    </xf>
    <xf numFmtId="58" fontId="0" fillId="7" borderId="5" xfId="0" applyNumberFormat="1" applyFont="1" applyFill="1" applyBorder="1" applyAlignment="1">
      <alignment horizontal="center" vertical="center" wrapText="1"/>
    </xf>
    <xf numFmtId="0" fontId="11" fillId="7" borderId="5" xfId="0" applyFont="1" applyFill="1" applyBorder="1" applyAlignment="1">
      <alignment horizontal="center" vertical="center" wrapText="1"/>
    </xf>
    <xf numFmtId="0" fontId="11" fillId="9" borderId="3"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4" xfId="0" applyFont="1" applyFill="1" applyBorder="1" applyAlignment="1">
      <alignment horizontal="center" vertical="center" wrapText="1"/>
    </xf>
    <xf numFmtId="58" fontId="0" fillId="9" borderId="3" xfId="0" applyNumberFormat="1" applyFont="1" applyFill="1" applyBorder="1" applyAlignment="1">
      <alignment horizontal="center" vertical="center" wrapText="1"/>
    </xf>
    <xf numFmtId="58" fontId="0" fillId="9" borderId="5" xfId="0" applyNumberFormat="1" applyFont="1" applyFill="1" applyBorder="1" applyAlignment="1">
      <alignment horizontal="center" vertical="center" wrapText="1"/>
    </xf>
    <xf numFmtId="58" fontId="0" fillId="9" borderId="4" xfId="0" applyNumberFormat="1" applyFont="1" applyFill="1" applyBorder="1" applyAlignment="1">
      <alignment horizontal="center" vertical="center" wrapText="1"/>
    </xf>
    <xf numFmtId="58" fontId="0" fillId="9" borderId="13" xfId="0" applyNumberFormat="1" applyFont="1" applyFill="1" applyBorder="1" applyAlignment="1">
      <alignment horizontal="center" vertical="center" wrapText="1"/>
    </xf>
    <xf numFmtId="58" fontId="0" fillId="9" borderId="11" xfId="0" applyNumberFormat="1" applyFont="1" applyFill="1" applyBorder="1" applyAlignment="1">
      <alignment horizontal="center" vertical="center" wrapText="1"/>
    </xf>
    <xf numFmtId="58" fontId="0" fillId="7" borderId="14" xfId="0" applyNumberFormat="1" applyFont="1" applyFill="1" applyBorder="1" applyAlignment="1">
      <alignment horizontal="center" vertical="center" wrapText="1"/>
    </xf>
    <xf numFmtId="58" fontId="0" fillId="7" borderId="13" xfId="0" applyNumberFormat="1" applyFont="1" applyFill="1" applyBorder="1" applyAlignment="1">
      <alignment horizontal="center" vertical="center" wrapText="1"/>
    </xf>
    <xf numFmtId="58" fontId="0" fillId="7" borderId="11" xfId="0" applyNumberFormat="1" applyFont="1" applyFill="1" applyBorder="1" applyAlignment="1">
      <alignment horizontal="center" vertical="center" wrapText="1"/>
    </xf>
    <xf numFmtId="0" fontId="9" fillId="9" borderId="2"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1" fillId="7" borderId="16" xfId="0" applyFont="1" applyFill="1" applyBorder="1" applyAlignment="1">
      <alignment horizontal="center" vertical="center" wrapText="1"/>
    </xf>
    <xf numFmtId="0" fontId="11" fillId="7" borderId="8" xfId="0" applyFont="1" applyFill="1" applyBorder="1" applyAlignment="1">
      <alignment horizontal="center" vertical="center" wrapText="1"/>
    </xf>
    <xf numFmtId="58" fontId="0" fillId="11" borderId="3" xfId="0" applyNumberFormat="1" applyFont="1" applyFill="1" applyBorder="1" applyAlignment="1">
      <alignment horizontal="center" vertical="center" wrapText="1"/>
    </xf>
    <xf numFmtId="58" fontId="0" fillId="11" borderId="4" xfId="0" applyNumberFormat="1" applyFont="1" applyFill="1" applyBorder="1" applyAlignment="1">
      <alignment horizontal="center" vertical="center" wrapText="1"/>
    </xf>
    <xf numFmtId="0" fontId="9" fillId="7" borderId="3" xfId="0" applyFont="1" applyFill="1" applyBorder="1" applyAlignment="1">
      <alignment horizontal="center" vertical="center" wrapText="1"/>
    </xf>
    <xf numFmtId="0" fontId="9" fillId="7" borderId="5" xfId="0" applyFont="1" applyFill="1" applyBorder="1" applyAlignment="1">
      <alignment horizontal="center" vertical="center" wrapText="1"/>
    </xf>
    <xf numFmtId="0" fontId="9" fillId="7" borderId="4"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5" xfId="0" applyFont="1" applyFill="1" applyBorder="1" applyAlignment="1">
      <alignment horizontal="center" vertical="center" wrapText="1"/>
    </xf>
    <xf numFmtId="0" fontId="9" fillId="11" borderId="4" xfId="0" applyFont="1" applyFill="1" applyBorder="1" applyAlignment="1">
      <alignment horizontal="center" vertical="center" wrapText="1"/>
    </xf>
    <xf numFmtId="0" fontId="9" fillId="9" borderId="3" xfId="0" applyFont="1" applyFill="1" applyBorder="1" applyAlignment="1">
      <alignment horizontal="center" vertical="center" wrapText="1"/>
    </xf>
    <xf numFmtId="0" fontId="9" fillId="9" borderId="4" xfId="0" applyFont="1" applyFill="1" applyBorder="1" applyAlignment="1">
      <alignment horizontal="center" vertical="center" wrapText="1"/>
    </xf>
    <xf numFmtId="0" fontId="9" fillId="9" borderId="5" xfId="0" applyFont="1" applyFill="1" applyBorder="1" applyAlignment="1">
      <alignment horizontal="center" vertical="center" wrapText="1"/>
    </xf>
    <xf numFmtId="58" fontId="0" fillId="15" borderId="3" xfId="0" applyNumberFormat="1" applyFont="1" applyFill="1" applyBorder="1" applyAlignment="1">
      <alignment horizontal="center" vertical="center" wrapText="1"/>
    </xf>
    <xf numFmtId="58" fontId="0" fillId="15" borderId="5" xfId="0" applyNumberFormat="1" applyFont="1" applyFill="1" applyBorder="1" applyAlignment="1">
      <alignment horizontal="center" vertical="center" wrapText="1"/>
    </xf>
    <xf numFmtId="58" fontId="0" fillId="15" borderId="4"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1" fillId="0" borderId="4" xfId="0" applyFont="1" applyFill="1" applyBorder="1" applyAlignment="1">
      <alignment horizontal="center" vertical="center" wrapText="1"/>
    </xf>
    <xf numFmtId="180"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184" fontId="1" fillId="0" borderId="0" xfId="0" applyNumberFormat="1" applyFont="1" applyFill="1" applyBorder="1" applyAlignment="1">
      <alignment horizontal="center" vertical="center"/>
    </xf>
    <xf numFmtId="180" fontId="1" fillId="0" borderId="0" xfId="0" applyNumberFormat="1" applyFont="1" applyFill="1" applyAlignment="1">
      <alignment horizontal="center" vertical="center"/>
    </xf>
    <xf numFmtId="0" fontId="1" fillId="2" borderId="1" xfId="0" applyFont="1" applyFill="1" applyBorder="1" applyAlignment="1">
      <alignment horizontal="center" vertical="center"/>
    </xf>
    <xf numFmtId="184" fontId="1" fillId="2" borderId="1" xfId="0" applyNumberFormat="1" applyFont="1" applyFill="1" applyBorder="1" applyAlignment="1">
      <alignment horizontal="center" vertical="center"/>
    </xf>
    <xf numFmtId="184" fontId="1" fillId="0" borderId="1" xfId="0" applyNumberFormat="1" applyFont="1" applyFill="1" applyBorder="1" applyAlignment="1">
      <alignment horizontal="center" vertical="center"/>
    </xf>
    <xf numFmtId="180" fontId="1" fillId="2" borderId="1" xfId="0" applyNumberFormat="1" applyFont="1" applyFill="1" applyBorder="1" applyAlignment="1">
      <alignment horizontal="center" vertical="center"/>
    </xf>
    <xf numFmtId="181" fontId="1" fillId="2" borderId="1" xfId="1" applyNumberFormat="1" applyFont="1" applyFill="1" applyBorder="1" applyAlignment="1">
      <alignment horizontal="center" vertical="center"/>
    </xf>
    <xf numFmtId="0" fontId="2" fillId="0" borderId="0" xfId="0" applyFont="1" applyFill="1" applyBorder="1" applyAlignment="1">
      <alignment horizontal="center" vertical="center"/>
    </xf>
    <xf numFmtId="0" fontId="1" fillId="3" borderId="1"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187" fontId="7" fillId="0" borderId="2" xfId="0" applyNumberFormat="1" applyFont="1" applyFill="1" applyBorder="1" applyAlignment="1">
      <alignment horizontal="center" vertical="center" wrapText="1"/>
    </xf>
    <xf numFmtId="187" fontId="7" fillId="0" borderId="6" xfId="0" applyNumberFormat="1" applyFont="1" applyFill="1" applyBorder="1" applyAlignment="1">
      <alignment horizontal="center" vertical="center" wrapText="1"/>
    </xf>
    <xf numFmtId="182" fontId="7" fillId="0" borderId="6" xfId="0" applyNumberFormat="1" applyFont="1" applyFill="1" applyBorder="1" applyAlignment="1">
      <alignment horizontal="center" vertical="center" wrapText="1"/>
    </xf>
    <xf numFmtId="187" fontId="7" fillId="0" borderId="7" xfId="0" applyNumberFormat="1" applyFont="1" applyFill="1" applyBorder="1" applyAlignment="1">
      <alignment horizontal="center" vertical="center" wrapText="1"/>
    </xf>
    <xf numFmtId="182" fontId="2" fillId="0" borderId="2" xfId="0" applyNumberFormat="1" applyFont="1" applyFill="1" applyBorder="1" applyAlignment="1">
      <alignment horizontal="center" vertical="center"/>
    </xf>
    <xf numFmtId="0" fontId="2" fillId="0" borderId="6" xfId="0" applyFont="1" applyFill="1" applyBorder="1" applyAlignment="1">
      <alignment horizontal="center" vertical="center"/>
    </xf>
    <xf numFmtId="0" fontId="2" fillId="0" borderId="7" xfId="0" applyFont="1" applyFill="1" applyBorder="1" applyAlignment="1">
      <alignment horizontal="center" vertical="center"/>
    </xf>
    <xf numFmtId="0" fontId="11" fillId="6" borderId="3" xfId="0" applyFont="1" applyFill="1" applyBorder="1" applyAlignment="1">
      <alignment horizontal="center" vertical="center" wrapText="1"/>
    </xf>
    <xf numFmtId="0" fontId="11" fillId="6" borderId="4" xfId="0" applyFont="1" applyFill="1" applyBorder="1" applyAlignment="1">
      <alignment horizontal="center" vertical="center" wrapText="1"/>
    </xf>
    <xf numFmtId="58" fontId="9" fillId="7" borderId="3" xfId="0" applyNumberFormat="1" applyFont="1" applyFill="1" applyBorder="1" applyAlignment="1">
      <alignment horizontal="center" vertical="center" wrapText="1"/>
    </xf>
    <xf numFmtId="58" fontId="9" fillId="7" borderId="4" xfId="0" applyNumberFormat="1" applyFont="1" applyFill="1" applyBorder="1" applyAlignment="1">
      <alignment horizontal="center" vertical="center" wrapText="1"/>
    </xf>
    <xf numFmtId="58" fontId="35" fillId="5" borderId="3" xfId="0" applyNumberFormat="1" applyFont="1" applyFill="1" applyBorder="1" applyAlignment="1">
      <alignment horizontal="center" vertical="center" wrapText="1"/>
    </xf>
    <xf numFmtId="58" fontId="35" fillId="5" borderId="5" xfId="0" applyNumberFormat="1" applyFont="1" applyFill="1" applyBorder="1" applyAlignment="1">
      <alignment horizontal="center" vertical="center" wrapText="1"/>
    </xf>
    <xf numFmtId="58" fontId="35" fillId="5" borderId="4" xfId="0" applyNumberFormat="1" applyFont="1" applyFill="1" applyBorder="1" applyAlignment="1">
      <alignment horizontal="center" vertical="center" wrapText="1"/>
    </xf>
    <xf numFmtId="58" fontId="29" fillId="9" borderId="3" xfId="0" applyNumberFormat="1" applyFont="1" applyFill="1" applyBorder="1" applyAlignment="1">
      <alignment horizontal="center" vertical="center" wrapText="1"/>
    </xf>
    <xf numFmtId="58" fontId="35" fillId="15" borderId="3" xfId="0" applyNumberFormat="1" applyFont="1" applyFill="1" applyBorder="1" applyAlignment="1">
      <alignment horizontal="center" vertical="center" wrapText="1"/>
    </xf>
    <xf numFmtId="0" fontId="37" fillId="7" borderId="3" xfId="0" applyFont="1" applyFill="1" applyBorder="1" applyAlignment="1">
      <alignment horizontal="center" vertical="center" wrapText="1"/>
    </xf>
    <xf numFmtId="0" fontId="37" fillId="11" borderId="3" xfId="0" applyFont="1" applyFill="1" applyBorder="1" applyAlignment="1">
      <alignment horizontal="center" vertical="center" wrapText="1"/>
    </xf>
    <xf numFmtId="0" fontId="37" fillId="7" borderId="4" xfId="0" applyFont="1" applyFill="1" applyBorder="1" applyAlignment="1">
      <alignment horizontal="center" vertical="center" wrapText="1"/>
    </xf>
    <xf numFmtId="0" fontId="37" fillId="5" borderId="3" xfId="0" applyFont="1" applyFill="1" applyBorder="1" applyAlignment="1">
      <alignment horizontal="center" vertical="center" wrapText="1"/>
    </xf>
    <xf numFmtId="58" fontId="35" fillId="7" borderId="3" xfId="0" applyNumberFormat="1" applyFont="1" applyFill="1" applyBorder="1" applyAlignment="1">
      <alignment horizontal="center" vertical="center" wrapText="1"/>
    </xf>
    <xf numFmtId="0" fontId="36" fillId="7" borderId="3" xfId="0" applyFont="1" applyFill="1" applyBorder="1" applyAlignment="1">
      <alignment horizontal="center" vertical="center" wrapText="1"/>
    </xf>
    <xf numFmtId="0" fontId="36"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35" fillId="7" borderId="1" xfId="0" applyNumberFormat="1" applyFont="1" applyFill="1" applyBorder="1" applyAlignment="1">
      <alignment horizontal="center" vertical="center" wrapText="1"/>
    </xf>
    <xf numFmtId="58" fontId="35" fillId="9" borderId="3" xfId="0" applyNumberFormat="1" applyFont="1" applyFill="1" applyBorder="1" applyAlignment="1">
      <alignment horizontal="center" vertical="center" wrapText="1"/>
    </xf>
    <xf numFmtId="58" fontId="35" fillId="9" borderId="4" xfId="0" applyNumberFormat="1" applyFont="1" applyFill="1" applyBorder="1" applyAlignment="1">
      <alignment horizontal="center" vertical="center" wrapText="1"/>
    </xf>
    <xf numFmtId="58" fontId="35" fillId="9" borderId="5" xfId="0" applyNumberFormat="1" applyFont="1" applyFill="1" applyBorder="1" applyAlignment="1">
      <alignment horizontal="center" vertical="center" wrapText="1"/>
    </xf>
    <xf numFmtId="58" fontId="35" fillId="11" borderId="3" xfId="0" applyNumberFormat="1" applyFont="1" applyFill="1" applyBorder="1" applyAlignment="1">
      <alignment horizontal="center" vertical="center" wrapText="1"/>
    </xf>
    <xf numFmtId="58" fontId="35" fillId="11" borderId="5" xfId="0" applyNumberFormat="1" applyFont="1" applyFill="1" applyBorder="1" applyAlignment="1">
      <alignment horizontal="center" vertical="center" wrapText="1"/>
    </xf>
    <xf numFmtId="58" fontId="35" fillId="11" borderId="4"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58" fontId="29" fillId="7" borderId="3" xfId="0" applyNumberFormat="1" applyFont="1" applyFill="1" applyBorder="1" applyAlignment="1">
      <alignment horizontal="center" vertical="center" wrapText="1"/>
    </xf>
    <xf numFmtId="58" fontId="29" fillId="5" borderId="3" xfId="0" applyNumberFormat="1" applyFont="1" applyFill="1" applyBorder="1" applyAlignment="1">
      <alignment horizontal="center" vertical="center" wrapText="1"/>
    </xf>
    <xf numFmtId="58" fontId="29" fillId="7" borderId="5" xfId="0" applyNumberFormat="1" applyFont="1" applyFill="1" applyBorder="1" applyAlignment="1">
      <alignment horizontal="center" vertical="center" wrapText="1"/>
    </xf>
    <xf numFmtId="58" fontId="29" fillId="7" borderId="4" xfId="0" applyNumberFormat="1" applyFont="1" applyFill="1" applyBorder="1" applyAlignment="1">
      <alignment horizontal="center" vertical="center" wrapText="1"/>
    </xf>
    <xf numFmtId="0" fontId="21" fillId="0" borderId="13" xfId="0" applyFont="1" applyFill="1" applyBorder="1" applyAlignment="1">
      <alignment horizontal="center" vertical="center" wrapText="1"/>
    </xf>
    <xf numFmtId="0" fontId="21" fillId="0" borderId="0" xfId="0" applyFont="1" applyFill="1" applyAlignment="1">
      <alignment horizontal="center" vertical="center" wrapText="1"/>
    </xf>
    <xf numFmtId="0" fontId="21" fillId="0" borderId="1" xfId="0" applyFont="1" applyFill="1" applyBorder="1" applyAlignment="1">
      <alignment horizontal="center" vertical="center" wrapText="1"/>
    </xf>
    <xf numFmtId="184" fontId="21" fillId="0" borderId="1" xfId="0" applyNumberFormat="1" applyFont="1" applyFill="1" applyBorder="1" applyAlignment="1">
      <alignment horizontal="center" vertical="center" wrapText="1"/>
    </xf>
    <xf numFmtId="10" fontId="21" fillId="0" borderId="1" xfId="2" applyNumberFormat="1" applyFont="1" applyFill="1" applyBorder="1" applyAlignment="1">
      <alignment horizontal="center" vertical="center" wrapText="1"/>
    </xf>
    <xf numFmtId="0" fontId="22" fillId="0" borderId="1" xfId="0" applyFont="1" applyFill="1" applyBorder="1" applyAlignment="1">
      <alignment horizontal="center" vertical="center" wrapText="1"/>
    </xf>
    <xf numFmtId="57" fontId="21" fillId="3" borderId="1" xfId="1" applyNumberFormat="1" applyFont="1" applyFill="1" applyBorder="1" applyAlignment="1">
      <alignment horizontal="center" vertical="center" wrapText="1"/>
    </xf>
    <xf numFmtId="0" fontId="21" fillId="3" borderId="1" xfId="1" applyNumberFormat="1" applyFont="1" applyFill="1" applyBorder="1" applyAlignment="1">
      <alignment horizontal="center" vertical="center" wrapText="1"/>
    </xf>
    <xf numFmtId="0" fontId="21" fillId="3" borderId="1" xfId="2" applyNumberFormat="1" applyFont="1" applyFill="1" applyBorder="1" applyAlignment="1">
      <alignment horizontal="center" vertical="center" wrapText="1"/>
    </xf>
    <xf numFmtId="0" fontId="22" fillId="0" borderId="2" xfId="0" applyFont="1" applyFill="1" applyBorder="1" applyAlignment="1" applyProtection="1">
      <alignment horizontal="center" vertical="center" wrapText="1"/>
    </xf>
    <xf numFmtId="0" fontId="22" fillId="0" borderId="7" xfId="0" applyFont="1" applyFill="1" applyBorder="1" applyAlignment="1" applyProtection="1">
      <alignment horizontal="center" vertical="center" wrapText="1"/>
    </xf>
    <xf numFmtId="181" fontId="22" fillId="0" borderId="1" xfId="1" applyNumberFormat="1" applyFont="1" applyBorder="1" applyAlignment="1">
      <alignment horizontal="center" vertical="center" wrapText="1"/>
    </xf>
    <xf numFmtId="0" fontId="21" fillId="3" borderId="1" xfId="0" applyFont="1" applyFill="1" applyBorder="1" applyAlignment="1" applyProtection="1">
      <alignment horizontal="center" vertical="center" wrapText="1"/>
    </xf>
    <xf numFmtId="0" fontId="22" fillId="0" borderId="1" xfId="0" applyFont="1" applyFill="1" applyBorder="1" applyAlignment="1" applyProtection="1">
      <alignment horizontal="center" vertical="center" wrapText="1"/>
    </xf>
    <xf numFmtId="184" fontId="21" fillId="3" borderId="1" xfId="0" applyNumberFormat="1" applyFont="1" applyFill="1" applyBorder="1" applyAlignment="1" applyProtection="1">
      <alignment horizontal="center" vertical="center" wrapText="1"/>
    </xf>
    <xf numFmtId="10" fontId="21" fillId="3" borderId="1" xfId="2" applyNumberFormat="1" applyFont="1" applyFill="1" applyBorder="1" applyAlignment="1" applyProtection="1">
      <alignment horizontal="center" vertical="center" wrapText="1"/>
    </xf>
    <xf numFmtId="0" fontId="17" fillId="0" borderId="2" xfId="0" applyFont="1" applyBorder="1" applyAlignment="1">
      <alignment horizontal="center" vertical="center" wrapText="1"/>
    </xf>
    <xf numFmtId="0" fontId="17" fillId="0" borderId="6" xfId="0" applyFont="1" applyBorder="1" applyAlignment="1">
      <alignment horizontal="center" vertical="center" wrapText="1"/>
    </xf>
    <xf numFmtId="0" fontId="17" fillId="0" borderId="9" xfId="0" applyFont="1" applyBorder="1" applyAlignment="1">
      <alignment horizontal="center" vertical="center" wrapText="1"/>
    </xf>
    <xf numFmtId="0" fontId="18" fillId="0" borderId="2" xfId="0" applyFont="1" applyBorder="1" applyAlignment="1">
      <alignment horizontal="right" vertical="center" wrapText="1"/>
    </xf>
    <xf numFmtId="0" fontId="18" fillId="0" borderId="6" xfId="0" applyFont="1" applyBorder="1" applyAlignment="1">
      <alignment horizontal="right" vertical="center" wrapText="1"/>
    </xf>
    <xf numFmtId="0" fontId="18" fillId="0" borderId="9" xfId="0" applyFont="1" applyBorder="1" applyAlignment="1">
      <alignment horizontal="right" vertical="center" wrapText="1"/>
    </xf>
    <xf numFmtId="0" fontId="18" fillId="0" borderId="2"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9" xfId="0" applyFont="1" applyBorder="1" applyAlignment="1">
      <alignment horizontal="center" vertical="center" wrapText="1"/>
    </xf>
    <xf numFmtId="181" fontId="20" fillId="0" borderId="10" xfId="0" applyNumberFormat="1" applyFont="1" applyBorder="1" applyAlignment="1">
      <alignment horizontal="center" vertical="center" wrapText="1"/>
    </xf>
    <xf numFmtId="181" fontId="20" fillId="0" borderId="6" xfId="0" applyNumberFormat="1" applyFont="1" applyBorder="1" applyAlignment="1">
      <alignment horizontal="center" vertical="center" wrapText="1"/>
    </xf>
    <xf numFmtId="181" fontId="20" fillId="0" borderId="7" xfId="0" applyNumberFormat="1" applyFont="1" applyBorder="1" applyAlignment="1">
      <alignment horizontal="center" vertical="center" wrapText="1"/>
    </xf>
    <xf numFmtId="0" fontId="0" fillId="0" borderId="1" xfId="0" applyFont="1" applyBorder="1" applyAlignment="1">
      <alignment horizontal="center" vertical="center"/>
    </xf>
    <xf numFmtId="0" fontId="18" fillId="0" borderId="3"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center" wrapText="1"/>
    </xf>
    <xf numFmtId="181" fontId="18" fillId="0" borderId="10" xfId="0" applyNumberFormat="1" applyFont="1" applyBorder="1" applyAlignment="1">
      <alignment horizontal="center" vertical="center" wrapText="1"/>
    </xf>
    <xf numFmtId="181" fontId="18" fillId="0" borderId="6" xfId="0" applyNumberFormat="1" applyFont="1" applyBorder="1" applyAlignment="1">
      <alignment horizontal="center" vertical="center" wrapText="1"/>
    </xf>
    <xf numFmtId="181" fontId="18" fillId="0" borderId="7" xfId="0" applyNumberFormat="1"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Border="1" applyAlignment="1">
      <alignment horizontal="center" vertical="center" wrapText="1"/>
    </xf>
    <xf numFmtId="0" fontId="33" fillId="0" borderId="2" xfId="0" applyFont="1" applyBorder="1" applyAlignment="1">
      <alignment horizontal="center" vertical="center" wrapText="1"/>
    </xf>
    <xf numFmtId="0" fontId="32" fillId="0" borderId="2" xfId="0" applyFont="1" applyBorder="1" applyAlignment="1">
      <alignment horizontal="right" vertical="center" wrapText="1"/>
    </xf>
    <xf numFmtId="0" fontId="16" fillId="0" borderId="2"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6" fillId="0" borderId="7" xfId="0" applyFont="1" applyFill="1" applyBorder="1" applyAlignment="1">
      <alignment horizontal="center" vertical="center" wrapText="1"/>
    </xf>
    <xf numFmtId="0" fontId="2" fillId="0" borderId="2" xfId="0" applyFont="1" applyFill="1" applyBorder="1" applyAlignment="1">
      <alignment horizontal="right" vertical="center" wrapText="1"/>
    </xf>
    <xf numFmtId="0" fontId="2" fillId="0" borderId="6" xfId="0" applyFont="1" applyFill="1" applyBorder="1" applyAlignment="1">
      <alignment horizontal="right" vertical="center" wrapText="1"/>
    </xf>
    <xf numFmtId="0" fontId="2" fillId="0" borderId="7" xfId="0" applyFont="1" applyFill="1" applyBorder="1" applyAlignment="1">
      <alignment horizontal="right"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181" fontId="2" fillId="0" borderId="1" xfId="0" applyNumberFormat="1"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16" borderId="1" xfId="0" applyFont="1" applyFill="1" applyBorder="1" applyAlignment="1">
      <alignment horizontal="center" vertical="center"/>
    </xf>
    <xf numFmtId="58" fontId="2" fillId="16" borderId="1" xfId="0" applyNumberFormat="1" applyFont="1" applyFill="1" applyBorder="1" applyAlignment="1">
      <alignment horizontal="center" vertical="center"/>
    </xf>
    <xf numFmtId="182" fontId="2" fillId="16" borderId="1" xfId="0" applyNumberFormat="1" applyFont="1" applyFill="1" applyBorder="1" applyAlignment="1">
      <alignment horizontal="center" vertical="center"/>
    </xf>
  </cellXfs>
  <cellStyles count="5">
    <cellStyle name="百分比" xfId="2" builtinId="5"/>
    <cellStyle name="常规" xfId="0" builtinId="0"/>
    <cellStyle name="超链接" xfId="4" builtinId="8"/>
    <cellStyle name="货币" xfId="1" builtinId="4"/>
    <cellStyle name="千位分隔"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3"/>
  <sheetViews>
    <sheetView showGridLines="0" topLeftCell="A2" zoomScale="64" zoomScaleNormal="106" workbookViewId="0">
      <selection activeCell="F33" sqref="F33"/>
    </sheetView>
  </sheetViews>
  <sheetFormatPr baseColWidth="10" defaultColWidth="20.83203125" defaultRowHeight="15"/>
  <cols>
    <col min="1" max="1" width="12.83203125" style="81" customWidth="1"/>
    <col min="2" max="2" width="16.6640625" style="83" customWidth="1"/>
    <col min="3" max="3" width="16.83203125" style="83" customWidth="1"/>
    <col min="4" max="4" width="17.6640625" style="83" customWidth="1"/>
    <col min="5" max="5" width="17" style="83" customWidth="1"/>
    <col min="6" max="7" width="18.33203125" style="83" customWidth="1"/>
    <col min="8" max="8" width="19.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v>44564</v>
      </c>
      <c r="C2" s="88">
        <v>44565</v>
      </c>
      <c r="D2" s="88">
        <v>44566</v>
      </c>
      <c r="E2" s="88">
        <v>44567</v>
      </c>
      <c r="F2" s="88">
        <v>44568</v>
      </c>
      <c r="G2" s="88">
        <v>44569</v>
      </c>
      <c r="H2" s="88">
        <v>44570</v>
      </c>
      <c r="I2" s="247" t="s">
        <v>7</v>
      </c>
    </row>
    <row r="3" spans="1:9" ht="20" customHeight="1">
      <c r="A3" s="87" t="s">
        <v>8</v>
      </c>
      <c r="B3" s="88"/>
      <c r="C3" s="315" t="s">
        <v>9</v>
      </c>
      <c r="D3" s="315" t="s">
        <v>9</v>
      </c>
      <c r="E3" s="88"/>
      <c r="F3" s="94"/>
      <c r="G3" s="94"/>
      <c r="H3" s="297" t="s">
        <v>9</v>
      </c>
      <c r="I3" s="248" t="s">
        <v>10</v>
      </c>
    </row>
    <row r="4" spans="1:9" ht="20" customHeight="1">
      <c r="A4" s="87" t="s">
        <v>11</v>
      </c>
      <c r="B4" s="88"/>
      <c r="C4" s="316"/>
      <c r="D4" s="316"/>
      <c r="E4" s="88"/>
      <c r="F4" s="94"/>
      <c r="G4" s="94"/>
      <c r="H4" s="298"/>
      <c r="I4" s="248" t="s">
        <v>12</v>
      </c>
    </row>
    <row r="5" spans="1:9" ht="20" customHeight="1">
      <c r="A5" s="87"/>
      <c r="B5" s="88"/>
      <c r="C5" s="316"/>
      <c r="D5" s="316"/>
      <c r="E5" s="88"/>
      <c r="F5" s="94"/>
      <c r="G5" s="94"/>
      <c r="H5" s="298"/>
      <c r="I5" s="248"/>
    </row>
    <row r="6" spans="1:9" ht="20" customHeight="1">
      <c r="A6" s="87" t="s">
        <v>13</v>
      </c>
      <c r="B6" s="88"/>
      <c r="C6" s="316"/>
      <c r="D6" s="316"/>
      <c r="E6" s="88"/>
      <c r="F6" s="94"/>
      <c r="G6" s="94"/>
      <c r="H6" s="298"/>
      <c r="I6" s="248"/>
    </row>
    <row r="7" spans="1:9" ht="20" customHeight="1">
      <c r="A7" s="87"/>
      <c r="B7" s="88"/>
      <c r="C7" s="316"/>
      <c r="D7" s="316"/>
      <c r="E7" s="88"/>
      <c r="F7" s="94"/>
      <c r="G7" s="94"/>
      <c r="H7" s="298"/>
      <c r="I7" s="248"/>
    </row>
    <row r="8" spans="1:9" ht="20" customHeight="1">
      <c r="A8" s="87" t="s">
        <v>14</v>
      </c>
      <c r="B8" s="88"/>
      <c r="C8" s="317"/>
      <c r="D8" s="316"/>
      <c r="E8" s="88"/>
      <c r="F8" s="94"/>
      <c r="G8" s="94"/>
      <c r="H8" s="299"/>
      <c r="I8" s="248"/>
    </row>
    <row r="9" spans="1:9" ht="20" customHeight="1">
      <c r="A9" s="87"/>
      <c r="B9" s="88"/>
      <c r="C9" s="318" t="s">
        <v>15</v>
      </c>
      <c r="D9" s="317"/>
      <c r="E9" s="94"/>
      <c r="F9" s="94"/>
      <c r="G9" s="94"/>
      <c r="H9" s="295" t="s">
        <v>16</v>
      </c>
      <c r="I9" s="247" t="s">
        <v>17</v>
      </c>
    </row>
    <row r="10" spans="1:9" ht="20" customHeight="1">
      <c r="A10" s="87" t="s">
        <v>18</v>
      </c>
      <c r="B10" s="88"/>
      <c r="C10" s="319"/>
      <c r="D10" s="92" t="s">
        <v>19</v>
      </c>
      <c r="E10" s="94"/>
      <c r="F10" s="94"/>
      <c r="G10" s="94"/>
      <c r="H10" s="296"/>
      <c r="I10" s="249" t="s">
        <v>20</v>
      </c>
    </row>
    <row r="11" spans="1:9" ht="20" customHeight="1">
      <c r="A11" s="87"/>
      <c r="B11" s="88"/>
      <c r="C11" s="223" t="s">
        <v>21</v>
      </c>
      <c r="D11" s="223" t="s">
        <v>21</v>
      </c>
      <c r="E11" s="94"/>
      <c r="F11" s="94"/>
      <c r="G11" s="94"/>
      <c r="H11" s="224" t="s">
        <v>22</v>
      </c>
      <c r="I11" s="250"/>
    </row>
    <row r="12" spans="1:9" ht="20" customHeight="1">
      <c r="A12" s="87" t="s">
        <v>23</v>
      </c>
      <c r="B12" s="88"/>
      <c r="C12" s="223" t="s">
        <v>24</v>
      </c>
      <c r="D12" s="223" t="s">
        <v>24</v>
      </c>
      <c r="E12" s="94"/>
      <c r="F12" s="94"/>
      <c r="G12" s="94"/>
      <c r="H12" s="322" t="s">
        <v>25</v>
      </c>
      <c r="I12" s="249"/>
    </row>
    <row r="13" spans="1:9" ht="20" customHeight="1">
      <c r="A13" s="87"/>
      <c r="B13" s="88"/>
      <c r="C13" s="318" t="s">
        <v>26</v>
      </c>
      <c r="D13" s="318" t="s">
        <v>27</v>
      </c>
      <c r="E13" s="94"/>
      <c r="F13" s="94"/>
      <c r="G13" s="94"/>
      <c r="H13" s="323"/>
      <c r="I13" s="249"/>
    </row>
    <row r="14" spans="1:9" ht="20" customHeight="1">
      <c r="A14" s="87" t="s">
        <v>28</v>
      </c>
      <c r="B14" s="88"/>
      <c r="C14" s="320"/>
      <c r="D14" s="320"/>
      <c r="E14" s="94"/>
      <c r="F14" s="94"/>
      <c r="G14" s="94"/>
      <c r="H14" s="323"/>
      <c r="I14" s="252" t="s">
        <v>29</v>
      </c>
    </row>
    <row r="15" spans="1:9" ht="20" customHeight="1">
      <c r="A15" s="87"/>
      <c r="B15" s="88"/>
      <c r="C15" s="320"/>
      <c r="D15" s="320"/>
      <c r="E15" s="94"/>
      <c r="F15" s="94"/>
      <c r="G15" s="94"/>
      <c r="H15" s="323"/>
      <c r="I15" s="253" t="s">
        <v>30</v>
      </c>
    </row>
    <row r="16" spans="1:9" ht="20" customHeight="1">
      <c r="A16" s="87" t="s">
        <v>31</v>
      </c>
      <c r="B16" s="88"/>
      <c r="C16" s="320"/>
      <c r="D16" s="319"/>
      <c r="E16" s="94"/>
      <c r="F16" s="94"/>
      <c r="G16" s="94"/>
      <c r="H16" s="323"/>
      <c r="I16" s="250" t="s">
        <v>32</v>
      </c>
    </row>
    <row r="17" spans="1:9" ht="20" customHeight="1">
      <c r="A17" s="87"/>
      <c r="B17" s="88"/>
      <c r="C17" s="319"/>
      <c r="D17" s="325" t="s">
        <v>33</v>
      </c>
      <c r="E17" s="94"/>
      <c r="F17" s="94"/>
      <c r="G17" s="94"/>
      <c r="H17" s="323"/>
      <c r="I17" s="249"/>
    </row>
    <row r="18" spans="1:9" ht="20" customHeight="1">
      <c r="A18" s="91" t="s">
        <v>34</v>
      </c>
      <c r="B18" s="88"/>
      <c r="C18" s="223" t="s">
        <v>35</v>
      </c>
      <c r="D18" s="326"/>
      <c r="E18" s="94"/>
      <c r="F18" s="94"/>
      <c r="G18" s="94"/>
      <c r="H18" s="323"/>
      <c r="I18" s="249"/>
    </row>
    <row r="19" spans="1:9" ht="20" customHeight="1">
      <c r="A19" s="87"/>
      <c r="B19" s="88"/>
      <c r="C19" s="223" t="s">
        <v>36</v>
      </c>
      <c r="D19" s="326"/>
      <c r="E19" s="88"/>
      <c r="F19" s="94"/>
      <c r="G19" s="94"/>
      <c r="H19" s="323"/>
      <c r="I19" s="253"/>
    </row>
    <row r="20" spans="1:9" ht="20" customHeight="1">
      <c r="A20" s="87" t="s">
        <v>37</v>
      </c>
      <c r="B20" s="88"/>
      <c r="C20" s="92" t="s">
        <v>38</v>
      </c>
      <c r="D20" s="326"/>
      <c r="E20" s="88"/>
      <c r="F20" s="94"/>
      <c r="G20" s="94"/>
      <c r="H20" s="323"/>
      <c r="I20" s="253"/>
    </row>
    <row r="21" spans="1:9" ht="20" customHeight="1">
      <c r="A21" s="87"/>
      <c r="B21" s="93"/>
      <c r="C21" s="105" t="s">
        <v>39</v>
      </c>
      <c r="D21" s="326"/>
      <c r="E21" s="93"/>
      <c r="F21" s="94"/>
      <c r="G21" s="94"/>
      <c r="H21" s="323"/>
      <c r="I21" s="249"/>
    </row>
    <row r="22" spans="1:9" ht="20" customHeight="1">
      <c r="A22" s="87" t="s">
        <v>40</v>
      </c>
      <c r="B22" s="88"/>
      <c r="C22" s="295" t="s">
        <v>41</v>
      </c>
      <c r="D22" s="327"/>
      <c r="E22" s="94"/>
      <c r="F22" s="94"/>
      <c r="G22" s="94"/>
      <c r="H22" s="323"/>
      <c r="I22" s="247" t="s">
        <v>42</v>
      </c>
    </row>
    <row r="23" spans="1:9" ht="20" customHeight="1">
      <c r="A23" s="87"/>
      <c r="B23" s="88"/>
      <c r="C23" s="321"/>
      <c r="D23" s="295" t="s">
        <v>43</v>
      </c>
      <c r="E23" s="94"/>
      <c r="F23" s="94"/>
      <c r="G23" s="94"/>
      <c r="H23" s="323"/>
      <c r="I23" s="248"/>
    </row>
    <row r="24" spans="1:9" ht="20" customHeight="1">
      <c r="A24" s="87" t="s">
        <v>44</v>
      </c>
      <c r="B24" s="88"/>
      <c r="C24" s="321"/>
      <c r="D24" s="321"/>
      <c r="E24" s="94"/>
      <c r="F24" s="94"/>
      <c r="G24" s="94"/>
      <c r="H24" s="323"/>
      <c r="I24" s="248"/>
    </row>
    <row r="25" spans="1:9" ht="20" customHeight="1">
      <c r="A25" s="87"/>
      <c r="B25" s="88"/>
      <c r="C25" s="321"/>
      <c r="D25" s="321"/>
      <c r="E25" s="94"/>
      <c r="F25" s="94"/>
      <c r="G25" s="94"/>
      <c r="H25" s="323"/>
      <c r="I25" s="249"/>
    </row>
    <row r="26" spans="1:9" ht="20" customHeight="1">
      <c r="A26" s="87" t="s">
        <v>45</v>
      </c>
      <c r="B26" s="88"/>
      <c r="C26" s="321"/>
      <c r="D26" s="321"/>
      <c r="E26" s="94"/>
      <c r="F26" s="94"/>
      <c r="G26" s="94"/>
      <c r="H26" s="323"/>
      <c r="I26" s="253"/>
    </row>
    <row r="27" spans="1:9" ht="23" customHeight="1">
      <c r="A27" s="87"/>
      <c r="B27" s="88"/>
      <c r="C27" s="321"/>
      <c r="D27" s="321"/>
      <c r="E27" s="94"/>
      <c r="F27" s="94"/>
      <c r="G27" s="94"/>
      <c r="H27" s="323"/>
      <c r="I27" s="249"/>
    </row>
    <row r="28" spans="1:9" ht="20" customHeight="1">
      <c r="A28" s="87" t="s">
        <v>46</v>
      </c>
      <c r="B28" s="88"/>
      <c r="C28" s="321"/>
      <c r="D28" s="321"/>
      <c r="E28" s="94"/>
      <c r="F28" s="94"/>
      <c r="G28" s="94"/>
      <c r="H28" s="323"/>
      <c r="I28" s="249"/>
    </row>
    <row r="29" spans="1:9" ht="20" customHeight="1">
      <c r="A29" s="87"/>
      <c r="B29" s="88"/>
      <c r="C29" s="296"/>
      <c r="D29" s="321"/>
      <c r="E29" s="94"/>
      <c r="F29" s="94"/>
      <c r="G29" s="94"/>
      <c r="H29" s="323"/>
      <c r="I29" s="249"/>
    </row>
    <row r="30" spans="1:9" ht="20" customHeight="1">
      <c r="A30" s="87" t="s">
        <v>47</v>
      </c>
      <c r="B30" s="88"/>
      <c r="C30" s="224" t="s">
        <v>48</v>
      </c>
      <c r="D30" s="296"/>
      <c r="E30" s="94"/>
      <c r="F30" s="94"/>
      <c r="G30" s="94"/>
      <c r="H30" s="323"/>
      <c r="I30" s="254"/>
    </row>
    <row r="31" spans="1:9" ht="20" customHeight="1">
      <c r="A31" s="91"/>
      <c r="B31" s="88"/>
      <c r="C31" s="322" t="s">
        <v>49</v>
      </c>
      <c r="D31" s="322" t="s">
        <v>49</v>
      </c>
      <c r="E31" s="94"/>
      <c r="F31" s="94"/>
      <c r="G31" s="94"/>
      <c r="H31" s="323"/>
      <c r="I31" s="254"/>
    </row>
    <row r="32" spans="1:9" ht="20" customHeight="1">
      <c r="A32" s="87" t="s">
        <v>50</v>
      </c>
      <c r="B32" s="88"/>
      <c r="C32" s="324"/>
      <c r="D32" s="324"/>
      <c r="E32" s="94"/>
      <c r="F32" s="94"/>
      <c r="G32" s="94"/>
      <c r="H32" s="323"/>
      <c r="I32" s="254"/>
    </row>
    <row r="33" spans="1:9" ht="20" customHeight="1">
      <c r="A33" s="87"/>
      <c r="B33" s="88"/>
      <c r="C33" s="292" t="s">
        <v>51</v>
      </c>
      <c r="D33" s="301" t="s">
        <v>52</v>
      </c>
      <c r="E33" s="94"/>
      <c r="F33" s="94"/>
      <c r="G33" s="94"/>
      <c r="H33" s="323"/>
      <c r="I33" s="254"/>
    </row>
    <row r="34" spans="1:9" ht="20" customHeight="1">
      <c r="A34" s="87" t="s">
        <v>53</v>
      </c>
      <c r="B34" s="88"/>
      <c r="C34" s="293"/>
      <c r="D34" s="302"/>
      <c r="E34" s="94"/>
      <c r="F34" s="94"/>
      <c r="G34" s="94"/>
      <c r="H34" s="323"/>
      <c r="I34" s="254"/>
    </row>
    <row r="35" spans="1:9" ht="20" customHeight="1">
      <c r="A35" s="87"/>
      <c r="B35" s="88"/>
      <c r="C35" s="293"/>
      <c r="D35" s="302"/>
      <c r="E35" s="94"/>
      <c r="F35" s="94"/>
      <c r="G35" s="94"/>
      <c r="H35" s="323"/>
      <c r="I35" s="252" t="s">
        <v>54</v>
      </c>
    </row>
    <row r="36" spans="1:9" ht="20" customHeight="1">
      <c r="A36" s="87" t="s">
        <v>55</v>
      </c>
      <c r="B36" s="88"/>
      <c r="C36" s="293"/>
      <c r="D36" s="302"/>
      <c r="E36" s="94"/>
      <c r="F36" s="94"/>
      <c r="G36" s="94"/>
      <c r="H36" s="323"/>
      <c r="I36" s="250"/>
    </row>
    <row r="37" spans="1:9" ht="20" customHeight="1">
      <c r="A37" s="87"/>
      <c r="B37" s="88"/>
      <c r="C37" s="293"/>
      <c r="D37" s="302"/>
      <c r="E37" s="94"/>
      <c r="F37" s="94"/>
      <c r="G37" s="94"/>
      <c r="H37" s="324"/>
      <c r="I37" s="249"/>
    </row>
    <row r="38" spans="1:9" ht="20" customHeight="1">
      <c r="A38" s="87" t="s">
        <v>56</v>
      </c>
      <c r="B38" s="88"/>
      <c r="C38" s="294"/>
      <c r="D38" s="303"/>
      <c r="E38" s="94"/>
      <c r="F38" s="94"/>
      <c r="G38" s="94"/>
      <c r="H38" s="295" t="s">
        <v>57</v>
      </c>
      <c r="I38" s="253"/>
    </row>
    <row r="39" spans="1:9" ht="20" customHeight="1">
      <c r="A39" s="87"/>
      <c r="B39" s="88"/>
      <c r="C39" s="295" t="s">
        <v>58</v>
      </c>
      <c r="D39" s="224" t="s">
        <v>59</v>
      </c>
      <c r="E39" s="94"/>
      <c r="F39" s="94"/>
      <c r="G39" s="94"/>
      <c r="H39" s="296"/>
      <c r="I39" s="252"/>
    </row>
    <row r="40" spans="1:9" ht="20" customHeight="1">
      <c r="A40" s="87" t="s">
        <v>60</v>
      </c>
      <c r="B40" s="88"/>
      <c r="C40" s="296"/>
      <c r="D40" s="304" t="s">
        <v>9</v>
      </c>
      <c r="E40" s="94"/>
      <c r="F40" s="94"/>
      <c r="G40" s="94"/>
      <c r="H40" s="322" t="s">
        <v>61</v>
      </c>
      <c r="I40" s="250"/>
    </row>
    <row r="41" spans="1:9" ht="20" customHeight="1">
      <c r="A41" s="87"/>
      <c r="B41" s="88"/>
      <c r="C41" s="224" t="s">
        <v>59</v>
      </c>
      <c r="D41" s="305"/>
      <c r="E41" s="94"/>
      <c r="F41" s="94"/>
      <c r="G41" s="94"/>
      <c r="H41" s="324"/>
      <c r="I41" s="253"/>
    </row>
    <row r="42" spans="1:9" ht="20" customHeight="1">
      <c r="A42" s="87" t="s">
        <v>62</v>
      </c>
      <c r="B42" s="88"/>
      <c r="C42" s="297" t="s">
        <v>9</v>
      </c>
      <c r="D42" s="305"/>
      <c r="E42" s="94"/>
      <c r="F42" s="94"/>
      <c r="G42" s="94"/>
      <c r="H42" s="297" t="s">
        <v>9</v>
      </c>
      <c r="I42" s="253"/>
    </row>
    <row r="43" spans="1:9" ht="20" customHeight="1">
      <c r="A43" s="87"/>
      <c r="B43" s="88"/>
      <c r="C43" s="298"/>
      <c r="D43" s="305"/>
      <c r="E43" s="94"/>
      <c r="F43" s="94"/>
      <c r="G43" s="94"/>
      <c r="H43" s="298"/>
      <c r="I43" s="249"/>
    </row>
    <row r="44" spans="1:9" ht="20" customHeight="1">
      <c r="A44" s="87" t="s">
        <v>63</v>
      </c>
      <c r="B44" s="88"/>
      <c r="C44" s="298"/>
      <c r="D44" s="305"/>
      <c r="E44" s="94"/>
      <c r="F44" s="94"/>
      <c r="G44" s="94"/>
      <c r="H44" s="298"/>
      <c r="I44" s="249"/>
    </row>
    <row r="45" spans="1:9" ht="20" customHeight="1">
      <c r="A45" s="87"/>
      <c r="B45" s="88"/>
      <c r="C45" s="298"/>
      <c r="D45" s="305"/>
      <c r="E45" s="94"/>
      <c r="F45" s="94"/>
      <c r="G45" s="94"/>
      <c r="H45" s="298"/>
      <c r="I45" s="249"/>
    </row>
    <row r="46" spans="1:9" ht="20" customHeight="1">
      <c r="A46" s="87" t="s">
        <v>64</v>
      </c>
      <c r="B46" s="88"/>
      <c r="C46" s="298"/>
      <c r="D46" s="305"/>
      <c r="E46" s="94"/>
      <c r="F46" s="94"/>
      <c r="G46" s="94"/>
      <c r="H46" s="298"/>
      <c r="I46" s="252" t="s">
        <v>65</v>
      </c>
    </row>
    <row r="47" spans="1:9" ht="20" customHeight="1">
      <c r="A47" s="87"/>
      <c r="B47" s="88"/>
      <c r="C47" s="298"/>
      <c r="D47" s="305"/>
      <c r="E47" s="94"/>
      <c r="F47" s="94"/>
      <c r="G47" s="94"/>
      <c r="H47" s="298"/>
      <c r="I47" s="255"/>
    </row>
    <row r="48" spans="1:9" ht="20" customHeight="1">
      <c r="A48" s="87" t="s">
        <v>66</v>
      </c>
      <c r="B48" s="88"/>
      <c r="C48" s="298"/>
      <c r="D48" s="305"/>
      <c r="E48" s="94"/>
      <c r="F48" s="94"/>
      <c r="G48" s="94"/>
      <c r="H48" s="298"/>
      <c r="I48" s="253"/>
    </row>
    <row r="49" spans="1:14" ht="20" customHeight="1">
      <c r="A49" s="87"/>
      <c r="B49" s="88"/>
      <c r="C49" s="298"/>
      <c r="D49" s="305"/>
      <c r="E49" s="94"/>
      <c r="F49" s="94"/>
      <c r="G49" s="94"/>
      <c r="H49" s="298"/>
      <c r="I49" s="253"/>
    </row>
    <row r="50" spans="1:14" ht="20" customHeight="1">
      <c r="A50" s="87" t="s">
        <v>67</v>
      </c>
      <c r="B50" s="88"/>
      <c r="C50" s="299"/>
      <c r="D50" s="306"/>
      <c r="E50" s="94"/>
      <c r="F50" s="94"/>
      <c r="G50" s="94"/>
      <c r="H50" s="299"/>
      <c r="I50" s="249"/>
    </row>
    <row r="51" spans="1:14" ht="20" customHeight="1">
      <c r="A51" s="97" t="s">
        <v>68</v>
      </c>
      <c r="B51" s="237">
        <f t="shared" ref="B51:H55" si="0">GetColorCount(B$2:B$50,$A51)*0.5</f>
        <v>0</v>
      </c>
      <c r="C51" s="237">
        <f t="shared" si="0"/>
        <v>4</v>
      </c>
      <c r="D51" s="237">
        <f t="shared" si="0"/>
        <v>5.5</v>
      </c>
      <c r="E51" s="237">
        <f t="shared" si="0"/>
        <v>0</v>
      </c>
      <c r="F51" s="237">
        <f t="shared" si="0"/>
        <v>0</v>
      </c>
      <c r="G51" s="237">
        <f t="shared" si="0"/>
        <v>0</v>
      </c>
      <c r="H51" s="237">
        <f t="shared" si="0"/>
        <v>14.5</v>
      </c>
      <c r="I51" s="252" t="s">
        <v>69</v>
      </c>
    </row>
    <row r="52" spans="1:14" ht="20" customHeight="1">
      <c r="A52" s="99" t="s">
        <v>9</v>
      </c>
      <c r="B52" s="237">
        <f t="shared" si="0"/>
        <v>0</v>
      </c>
      <c r="C52" s="237">
        <f t="shared" si="0"/>
        <v>8</v>
      </c>
      <c r="D52" s="237">
        <f t="shared" si="0"/>
        <v>9</v>
      </c>
      <c r="E52" s="237">
        <f t="shared" si="0"/>
        <v>0</v>
      </c>
      <c r="F52" s="237">
        <f t="shared" si="0"/>
        <v>0</v>
      </c>
      <c r="G52" s="237">
        <f t="shared" si="0"/>
        <v>0</v>
      </c>
      <c r="H52" s="237">
        <f t="shared" si="0"/>
        <v>7.5</v>
      </c>
      <c r="I52" s="253" t="s">
        <v>70</v>
      </c>
    </row>
    <row r="53" spans="1:14" ht="20" customHeight="1">
      <c r="A53" s="100" t="s">
        <v>71</v>
      </c>
      <c r="B53" s="237">
        <f t="shared" si="0"/>
        <v>0</v>
      </c>
      <c r="C53" s="237">
        <f t="shared" si="0"/>
        <v>9</v>
      </c>
      <c r="D53" s="237">
        <f t="shared" si="0"/>
        <v>6.5</v>
      </c>
      <c r="E53" s="237">
        <f t="shared" si="0"/>
        <v>0</v>
      </c>
      <c r="F53" s="237">
        <f t="shared" si="0"/>
        <v>0</v>
      </c>
      <c r="G53" s="237">
        <f t="shared" si="0"/>
        <v>0</v>
      </c>
      <c r="H53" s="237">
        <f t="shared" si="0"/>
        <v>2</v>
      </c>
      <c r="I53" s="250"/>
    </row>
    <row r="54" spans="1:14" ht="20" customHeight="1">
      <c r="A54" s="101" t="s">
        <v>72</v>
      </c>
      <c r="B54" s="237">
        <f t="shared" si="0"/>
        <v>0</v>
      </c>
      <c r="C54" s="237">
        <f t="shared" si="0"/>
        <v>3</v>
      </c>
      <c r="D54" s="237">
        <f t="shared" si="0"/>
        <v>0</v>
      </c>
      <c r="E54" s="237">
        <f t="shared" si="0"/>
        <v>0</v>
      </c>
      <c r="F54" s="237">
        <f t="shared" si="0"/>
        <v>0</v>
      </c>
      <c r="G54" s="237">
        <f t="shared" si="0"/>
        <v>0</v>
      </c>
      <c r="H54" s="237">
        <f t="shared" si="0"/>
        <v>0</v>
      </c>
      <c r="I54" s="249"/>
    </row>
    <row r="55" spans="1:14" ht="20" customHeight="1">
      <c r="A55" s="102" t="s">
        <v>73</v>
      </c>
      <c r="B55" s="237">
        <f t="shared" si="0"/>
        <v>0</v>
      </c>
      <c r="C55" s="237">
        <f t="shared" si="0"/>
        <v>0</v>
      </c>
      <c r="D55" s="237">
        <f t="shared" si="0"/>
        <v>3</v>
      </c>
      <c r="E55" s="237">
        <f t="shared" si="0"/>
        <v>0</v>
      </c>
      <c r="F55" s="237">
        <f t="shared" si="0"/>
        <v>0</v>
      </c>
      <c r="G55" s="237">
        <f t="shared" si="0"/>
        <v>0</v>
      </c>
      <c r="H55" s="237">
        <f t="shared" si="0"/>
        <v>0</v>
      </c>
      <c r="I55" s="249"/>
    </row>
    <row r="56" spans="1:14" ht="20" customHeight="1">
      <c r="A56" s="85" t="s">
        <v>74</v>
      </c>
      <c r="B56" s="244">
        <f>SUM(B51:B55)</f>
        <v>0</v>
      </c>
      <c r="C56" s="244">
        <f t="shared" ref="C56:H56" si="1">SUM(C51:C55)</f>
        <v>24</v>
      </c>
      <c r="D56" s="244">
        <f t="shared" si="1"/>
        <v>24</v>
      </c>
      <c r="E56" s="244">
        <f t="shared" si="1"/>
        <v>0</v>
      </c>
      <c r="F56" s="244">
        <f t="shared" si="1"/>
        <v>0</v>
      </c>
      <c r="G56" s="244">
        <f t="shared" si="1"/>
        <v>0</v>
      </c>
      <c r="H56" s="244">
        <f t="shared" si="1"/>
        <v>24</v>
      </c>
      <c r="I56" s="253"/>
    </row>
    <row r="57" spans="1:14" s="81" customFormat="1" ht="20" customHeight="1">
      <c r="A57" s="311" t="s">
        <v>68</v>
      </c>
      <c r="B57" s="312" t="s">
        <v>9</v>
      </c>
      <c r="C57" s="300" t="s">
        <v>75</v>
      </c>
      <c r="D57" s="307" t="s">
        <v>76</v>
      </c>
      <c r="E57" s="313" t="s">
        <v>77</v>
      </c>
      <c r="F57" s="314" t="s">
        <v>78</v>
      </c>
      <c r="G57" s="241"/>
      <c r="H57" s="241"/>
      <c r="I57" s="256" t="s">
        <v>79</v>
      </c>
    </row>
    <row r="58" spans="1:14" s="81" customFormat="1" ht="20" customHeight="1">
      <c r="A58" s="311"/>
      <c r="B58" s="312"/>
      <c r="C58" s="300"/>
      <c r="D58" s="308"/>
      <c r="E58" s="313"/>
      <c r="F58" s="314"/>
      <c r="G58" s="241"/>
      <c r="H58" s="241"/>
      <c r="I58" s="254"/>
    </row>
    <row r="59" spans="1:14" s="81" customFormat="1" ht="20" customHeight="1">
      <c r="A59" s="311"/>
      <c r="B59" s="312"/>
      <c r="C59" s="300"/>
      <c r="D59" s="308"/>
      <c r="E59" s="313"/>
      <c r="F59" s="314"/>
      <c r="G59" s="241"/>
      <c r="H59" s="241"/>
      <c r="I59" s="95"/>
    </row>
    <row r="60" spans="1:14" ht="15" customHeight="1">
      <c r="A60" s="239">
        <f>SUM(B51:H51)</f>
        <v>24</v>
      </c>
      <c r="B60" s="240">
        <f>SUM(B52:H52)</f>
        <v>24.5</v>
      </c>
      <c r="C60" s="239">
        <f>SUM(B53:H53)</f>
        <v>17.5</v>
      </c>
      <c r="D60" s="239">
        <f>SUM(B54:H54)</f>
        <v>3</v>
      </c>
      <c r="E60" s="239">
        <f>SUM(B55:H55)</f>
        <v>3</v>
      </c>
      <c r="F60" s="239">
        <f>SUM(B56:H56)</f>
        <v>72</v>
      </c>
      <c r="I60" s="233"/>
    </row>
    <row r="61" spans="1:14">
      <c r="A61" s="231">
        <f>A60/7</f>
        <v>3.4285714285714284</v>
      </c>
      <c r="B61" s="232">
        <f>B60/7</f>
        <v>3.5</v>
      </c>
      <c r="C61" s="231">
        <f>C60/7</f>
        <v>2.5</v>
      </c>
      <c r="D61" s="231">
        <f>D60/7</f>
        <v>0.42857142857142855</v>
      </c>
      <c r="E61" s="239">
        <f>E60/7</f>
        <v>0.42857142857142855</v>
      </c>
      <c r="F61" s="231"/>
      <c r="I61" s="233"/>
    </row>
    <row r="62" spans="1:14">
      <c r="I62" s="234"/>
    </row>
    <row r="63" spans="1:14">
      <c r="I63" s="309"/>
      <c r="J63" s="309"/>
      <c r="K63" s="309"/>
      <c r="L63" s="309"/>
      <c r="M63" s="309"/>
      <c r="N63" s="309"/>
    </row>
    <row r="64" spans="1:14">
      <c r="I64" s="310"/>
      <c r="J64" s="310"/>
      <c r="K64" s="310"/>
      <c r="L64" s="310"/>
      <c r="M64" s="310"/>
      <c r="N64" s="310"/>
    </row>
    <row r="65" spans="6:14">
      <c r="J65" s="81"/>
      <c r="K65" s="81"/>
      <c r="L65" s="81"/>
      <c r="M65" s="81"/>
      <c r="N65" s="81"/>
    </row>
    <row r="66" spans="6:14">
      <c r="J66" s="81"/>
      <c r="K66" s="81"/>
      <c r="L66" s="81"/>
      <c r="M66" s="81"/>
      <c r="N66" s="81"/>
    </row>
    <row r="68" spans="6:14">
      <c r="I68" s="80"/>
    </row>
    <row r="69" spans="6:14">
      <c r="I69" s="310"/>
      <c r="J69" s="310"/>
      <c r="K69" s="310"/>
      <c r="L69" s="310"/>
      <c r="M69" s="310"/>
      <c r="N69" s="310"/>
    </row>
    <row r="71" spans="6:14">
      <c r="H71" s="123"/>
      <c r="I71" s="126"/>
    </row>
    <row r="72" spans="6:14">
      <c r="H72" s="124"/>
      <c r="I72" s="126"/>
    </row>
    <row r="73" spans="6:14">
      <c r="H73" s="123"/>
      <c r="I73" s="126"/>
    </row>
    <row r="74" spans="6:14">
      <c r="H74" s="123"/>
      <c r="I74" s="126"/>
    </row>
    <row r="75" spans="6:14">
      <c r="H75" s="123"/>
      <c r="I75" s="126"/>
    </row>
    <row r="79" spans="6:14">
      <c r="F79" s="125"/>
    </row>
    <row r="96" spans="9:9">
      <c r="I96" s="80"/>
    </row>
    <row r="97" spans="9:9">
      <c r="I97" s="80"/>
    </row>
    <row r="98" spans="9:9">
      <c r="I98" s="80"/>
    </row>
    <row r="99" spans="9:9">
      <c r="I99" s="80"/>
    </row>
    <row r="100" spans="9:9">
      <c r="I100" s="80"/>
    </row>
    <row r="101" spans="9:9">
      <c r="I101" s="80"/>
    </row>
    <row r="102" spans="9:9">
      <c r="I102" s="80"/>
    </row>
    <row r="103" spans="9:9">
      <c r="I103" s="80"/>
    </row>
  </sheetData>
  <mergeCells count="30">
    <mergeCell ref="C3:C8"/>
    <mergeCell ref="C9:C10"/>
    <mergeCell ref="C13:C17"/>
    <mergeCell ref="C22:C29"/>
    <mergeCell ref="H42:H50"/>
    <mergeCell ref="H3:H8"/>
    <mergeCell ref="H9:H10"/>
    <mergeCell ref="H12:H37"/>
    <mergeCell ref="H38:H39"/>
    <mergeCell ref="H40:H41"/>
    <mergeCell ref="D3:D9"/>
    <mergeCell ref="D13:D16"/>
    <mergeCell ref="D17:D22"/>
    <mergeCell ref="D23:D30"/>
    <mergeCell ref="D31:D32"/>
    <mergeCell ref="C31:C32"/>
    <mergeCell ref="I63:N63"/>
    <mergeCell ref="I64:N64"/>
    <mergeCell ref="I69:N69"/>
    <mergeCell ref="A57:A59"/>
    <mergeCell ref="B57:B59"/>
    <mergeCell ref="E57:E59"/>
    <mergeCell ref="F57:F59"/>
    <mergeCell ref="C33:C38"/>
    <mergeCell ref="C39:C40"/>
    <mergeCell ref="C42:C50"/>
    <mergeCell ref="C57:C59"/>
    <mergeCell ref="D33:D38"/>
    <mergeCell ref="D40:D50"/>
    <mergeCell ref="D57:D59"/>
  </mergeCells>
  <phoneticPr fontId="30" type="noConversion"/>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03"/>
  <sheetViews>
    <sheetView showGridLines="0" zoomScale="55" zoomScaleNormal="70" workbookViewId="0">
      <selection activeCell="G43" sqref="G43"/>
    </sheetView>
  </sheetViews>
  <sheetFormatPr baseColWidth="10" defaultColWidth="20.83203125" defaultRowHeight="15"/>
  <cols>
    <col min="1" max="1" width="12.83203125" style="81" customWidth="1"/>
    <col min="2" max="2" width="17.1640625" style="83" customWidth="1"/>
    <col min="3" max="3" width="16.83203125" style="83" customWidth="1"/>
    <col min="4" max="4" width="17.6640625" style="83" customWidth="1"/>
    <col min="5" max="5" width="18.33203125" style="243" customWidth="1"/>
    <col min="6" max="7" width="18.33203125" style="83" customWidth="1"/>
    <col min="8" max="8" width="19.5" style="83" customWidth="1"/>
    <col min="9" max="9" width="104" style="84" customWidth="1"/>
    <col min="10" max="16384" width="20.83203125" style="80"/>
  </cols>
  <sheetData>
    <row r="1" spans="1:9" ht="20" customHeight="1">
      <c r="A1" s="85"/>
      <c r="B1" s="86" t="s">
        <v>0</v>
      </c>
      <c r="C1" s="86" t="s">
        <v>1</v>
      </c>
      <c r="D1" s="86" t="s">
        <v>2</v>
      </c>
      <c r="E1" s="245" t="s">
        <v>3</v>
      </c>
      <c r="F1" s="86" t="s">
        <v>4</v>
      </c>
      <c r="G1" s="86" t="s">
        <v>5</v>
      </c>
      <c r="H1" s="86" t="s">
        <v>6</v>
      </c>
      <c r="I1" s="110"/>
    </row>
    <row r="2" spans="1:9" s="81" customFormat="1" ht="20" customHeight="1">
      <c r="A2" s="87"/>
      <c r="B2" s="88">
        <v>44571</v>
      </c>
      <c r="C2" s="88">
        <v>44572</v>
      </c>
      <c r="D2" s="88">
        <v>44573</v>
      </c>
      <c r="E2" s="246">
        <v>44574</v>
      </c>
      <c r="F2" s="88">
        <v>44575</v>
      </c>
      <c r="G2" s="88">
        <v>44576</v>
      </c>
      <c r="H2" s="88">
        <v>44577</v>
      </c>
      <c r="I2" s="247" t="s">
        <v>7</v>
      </c>
    </row>
    <row r="3" spans="1:9" ht="20" customHeight="1">
      <c r="A3" s="87" t="s">
        <v>8</v>
      </c>
      <c r="B3" s="315" t="s">
        <v>9</v>
      </c>
      <c r="C3" s="315" t="s">
        <v>9</v>
      </c>
      <c r="D3" s="315" t="s">
        <v>9</v>
      </c>
      <c r="E3" s="315" t="s">
        <v>9</v>
      </c>
      <c r="F3" s="94"/>
      <c r="G3" s="94"/>
      <c r="H3" s="94"/>
      <c r="I3" s="248" t="s">
        <v>10</v>
      </c>
    </row>
    <row r="4" spans="1:9" ht="20" customHeight="1">
      <c r="A4" s="87" t="s">
        <v>11</v>
      </c>
      <c r="B4" s="316"/>
      <c r="C4" s="316"/>
      <c r="D4" s="316"/>
      <c r="E4" s="316"/>
      <c r="F4" s="94"/>
      <c r="G4" s="94"/>
      <c r="H4" s="94"/>
      <c r="I4" s="248" t="s">
        <v>12</v>
      </c>
    </row>
    <row r="5" spans="1:9" ht="20" customHeight="1">
      <c r="A5" s="87"/>
      <c r="B5" s="316"/>
      <c r="C5" s="316"/>
      <c r="D5" s="316"/>
      <c r="E5" s="316"/>
      <c r="F5" s="94"/>
      <c r="G5" s="94"/>
      <c r="H5" s="94"/>
      <c r="I5" s="248" t="s">
        <v>80</v>
      </c>
    </row>
    <row r="6" spans="1:9" ht="20" customHeight="1">
      <c r="A6" s="87" t="s">
        <v>13</v>
      </c>
      <c r="B6" s="317"/>
      <c r="C6" s="316"/>
      <c r="D6" s="316"/>
      <c r="E6" s="316"/>
      <c r="F6" s="94"/>
      <c r="G6" s="94"/>
      <c r="H6" s="94"/>
      <c r="I6" s="248"/>
    </row>
    <row r="7" spans="1:9" ht="20" customHeight="1">
      <c r="A7" s="87"/>
      <c r="B7" s="318" t="s">
        <v>81</v>
      </c>
      <c r="C7" s="316"/>
      <c r="D7" s="316"/>
      <c r="E7" s="316"/>
      <c r="F7" s="94"/>
      <c r="G7" s="94"/>
      <c r="H7" s="94"/>
      <c r="I7" s="248"/>
    </row>
    <row r="8" spans="1:9" ht="20" customHeight="1">
      <c r="A8" s="87" t="s">
        <v>14</v>
      </c>
      <c r="B8" s="319"/>
      <c r="C8" s="316"/>
      <c r="D8" s="316"/>
      <c r="E8" s="316"/>
      <c r="F8" s="94"/>
      <c r="G8" s="94"/>
      <c r="H8" s="94"/>
      <c r="I8" s="248"/>
    </row>
    <row r="9" spans="1:9" ht="20" customHeight="1">
      <c r="A9" s="87"/>
      <c r="B9" s="92" t="s">
        <v>16</v>
      </c>
      <c r="C9" s="316"/>
      <c r="D9" s="316"/>
      <c r="E9" s="316"/>
      <c r="F9" s="94"/>
      <c r="G9" s="94"/>
      <c r="H9" s="94"/>
      <c r="I9" s="247" t="s">
        <v>17</v>
      </c>
    </row>
    <row r="10" spans="1:9" ht="20" customHeight="1">
      <c r="A10" s="87" t="s">
        <v>18</v>
      </c>
      <c r="B10" s="223" t="s">
        <v>82</v>
      </c>
      <c r="C10" s="317"/>
      <c r="D10" s="317"/>
      <c r="E10" s="317"/>
      <c r="F10" s="94"/>
      <c r="G10" s="94"/>
      <c r="H10" s="94"/>
      <c r="I10" s="249" t="s">
        <v>83</v>
      </c>
    </row>
    <row r="11" spans="1:9" ht="20" customHeight="1">
      <c r="A11" s="87"/>
      <c r="B11" s="325" t="s">
        <v>84</v>
      </c>
      <c r="C11" s="318" t="s">
        <v>85</v>
      </c>
      <c r="D11" s="88"/>
      <c r="E11" s="225" t="s">
        <v>86</v>
      </c>
      <c r="F11" s="94"/>
      <c r="G11" s="94"/>
      <c r="H11" s="94"/>
      <c r="I11" s="250" t="s">
        <v>87</v>
      </c>
    </row>
    <row r="12" spans="1:9" ht="20" customHeight="1">
      <c r="A12" s="87" t="s">
        <v>23</v>
      </c>
      <c r="B12" s="326"/>
      <c r="C12" s="320"/>
      <c r="D12" s="88"/>
      <c r="E12" s="224" t="s">
        <v>24</v>
      </c>
      <c r="F12" s="94"/>
      <c r="G12" s="94"/>
      <c r="H12" s="94"/>
      <c r="I12" s="251" t="s">
        <v>88</v>
      </c>
    </row>
    <row r="13" spans="1:9" ht="20" customHeight="1">
      <c r="A13" s="87"/>
      <c r="B13" s="326"/>
      <c r="C13" s="320"/>
      <c r="D13" s="88"/>
      <c r="E13" s="295" t="s">
        <v>89</v>
      </c>
      <c r="F13" s="94"/>
      <c r="G13" s="94"/>
      <c r="H13" s="94"/>
      <c r="I13" s="249" t="s">
        <v>90</v>
      </c>
    </row>
    <row r="14" spans="1:9" ht="20" customHeight="1">
      <c r="A14" s="87" t="s">
        <v>28</v>
      </c>
      <c r="B14" s="326"/>
      <c r="C14" s="320"/>
      <c r="D14" s="88"/>
      <c r="E14" s="321"/>
      <c r="F14" s="94"/>
      <c r="G14" s="94"/>
      <c r="H14" s="94"/>
      <c r="I14" s="252" t="s">
        <v>29</v>
      </c>
    </row>
    <row r="15" spans="1:9" ht="20" customHeight="1">
      <c r="A15" s="87"/>
      <c r="B15" s="326"/>
      <c r="C15" s="320"/>
      <c r="D15" s="88"/>
      <c r="E15" s="321"/>
      <c r="F15" s="94"/>
      <c r="G15" s="94"/>
      <c r="H15" s="94"/>
      <c r="I15" s="253" t="s">
        <v>30</v>
      </c>
    </row>
    <row r="16" spans="1:9" ht="20" customHeight="1">
      <c r="A16" s="87" t="s">
        <v>31</v>
      </c>
      <c r="B16" s="326"/>
      <c r="C16" s="319"/>
      <c r="D16" s="88"/>
      <c r="E16" s="321"/>
      <c r="F16" s="94"/>
      <c r="G16" s="94"/>
      <c r="H16" s="94"/>
      <c r="I16" s="250" t="s">
        <v>32</v>
      </c>
    </row>
    <row r="17" spans="1:9" ht="20" customHeight="1">
      <c r="A17" s="87"/>
      <c r="B17" s="326"/>
      <c r="C17" s="325" t="s">
        <v>91</v>
      </c>
      <c r="D17" s="88"/>
      <c r="E17" s="296"/>
      <c r="F17" s="94"/>
      <c r="G17" s="94"/>
      <c r="H17" s="94"/>
      <c r="I17" s="249"/>
    </row>
    <row r="18" spans="1:9" ht="20" customHeight="1">
      <c r="A18" s="91" t="s">
        <v>34</v>
      </c>
      <c r="B18" s="326"/>
      <c r="C18" s="326"/>
      <c r="D18" s="88"/>
      <c r="E18" s="224" t="s">
        <v>35</v>
      </c>
      <c r="F18" s="94"/>
      <c r="G18" s="94"/>
      <c r="H18" s="94"/>
      <c r="I18" s="249"/>
    </row>
    <row r="19" spans="1:9" ht="20" customHeight="1">
      <c r="A19" s="87"/>
      <c r="B19" s="326"/>
      <c r="C19" s="326"/>
      <c r="D19" s="88"/>
      <c r="E19" s="318" t="s">
        <v>81</v>
      </c>
      <c r="F19" s="94"/>
      <c r="G19" s="94"/>
      <c r="H19" s="94"/>
      <c r="I19" s="253"/>
    </row>
    <row r="20" spans="1:9" ht="20" customHeight="1">
      <c r="A20" s="87" t="s">
        <v>37</v>
      </c>
      <c r="B20" s="326"/>
      <c r="C20" s="327"/>
      <c r="D20" s="88"/>
      <c r="E20" s="319"/>
      <c r="F20" s="94"/>
      <c r="G20" s="94"/>
      <c r="H20" s="94"/>
      <c r="I20" s="253"/>
    </row>
    <row r="21" spans="1:9" ht="20" customHeight="1">
      <c r="A21" s="87"/>
      <c r="B21" s="328"/>
      <c r="C21" s="334" t="s">
        <v>92</v>
      </c>
      <c r="D21" s="93"/>
      <c r="E21" s="105" t="s">
        <v>39</v>
      </c>
      <c r="F21" s="94"/>
      <c r="G21" s="94"/>
      <c r="H21" s="94"/>
      <c r="I21" s="249"/>
    </row>
    <row r="22" spans="1:9" ht="20" customHeight="1">
      <c r="A22" s="87" t="s">
        <v>40</v>
      </c>
      <c r="B22" s="329"/>
      <c r="C22" s="334"/>
      <c r="D22" s="94"/>
      <c r="E22" s="295" t="s">
        <v>93</v>
      </c>
      <c r="F22" s="94"/>
      <c r="G22" s="94"/>
      <c r="H22" s="94"/>
      <c r="I22" s="247" t="s">
        <v>42</v>
      </c>
    </row>
    <row r="23" spans="1:9" ht="20" customHeight="1">
      <c r="A23" s="87"/>
      <c r="B23" s="330" t="s">
        <v>94</v>
      </c>
      <c r="C23" s="334"/>
      <c r="D23" s="94"/>
      <c r="E23" s="321"/>
      <c r="F23" s="94"/>
      <c r="G23" s="94"/>
      <c r="H23" s="94"/>
      <c r="I23" s="248" t="s">
        <v>95</v>
      </c>
    </row>
    <row r="24" spans="1:9" ht="20" customHeight="1">
      <c r="A24" s="87" t="s">
        <v>44</v>
      </c>
      <c r="B24" s="331"/>
      <c r="C24" s="334"/>
      <c r="D24" s="94"/>
      <c r="E24" s="321"/>
      <c r="F24" s="94"/>
      <c r="G24" s="94"/>
      <c r="H24" s="94"/>
      <c r="I24" s="248" t="s">
        <v>96</v>
      </c>
    </row>
    <row r="25" spans="1:9" ht="20" customHeight="1">
      <c r="A25" s="87"/>
      <c r="B25" s="331"/>
      <c r="C25" s="334"/>
      <c r="D25" s="94"/>
      <c r="E25" s="321"/>
      <c r="F25" s="94"/>
      <c r="G25" s="94"/>
      <c r="H25" s="94"/>
      <c r="I25" s="249" t="s">
        <v>97</v>
      </c>
    </row>
    <row r="26" spans="1:9" ht="20" customHeight="1">
      <c r="A26" s="87" t="s">
        <v>45</v>
      </c>
      <c r="B26" s="331"/>
      <c r="C26" s="334"/>
      <c r="D26" s="94"/>
      <c r="E26" s="321"/>
      <c r="F26" s="94"/>
      <c r="G26" s="94"/>
      <c r="H26" s="94"/>
      <c r="I26" s="253" t="s">
        <v>98</v>
      </c>
    </row>
    <row r="27" spans="1:9" ht="23" customHeight="1">
      <c r="A27" s="87"/>
      <c r="B27" s="331"/>
      <c r="C27" s="334"/>
      <c r="D27" s="94"/>
      <c r="E27" s="321"/>
      <c r="F27" s="94"/>
      <c r="G27" s="94"/>
      <c r="H27" s="94"/>
      <c r="I27" s="249" t="s">
        <v>99</v>
      </c>
    </row>
    <row r="28" spans="1:9" ht="20" customHeight="1">
      <c r="A28" s="87" t="s">
        <v>46</v>
      </c>
      <c r="B28" s="331"/>
      <c r="C28" s="334"/>
      <c r="D28" s="94"/>
      <c r="E28" s="321"/>
      <c r="F28" s="94"/>
      <c r="G28" s="94"/>
      <c r="H28" s="94"/>
      <c r="I28" s="249" t="s">
        <v>100</v>
      </c>
    </row>
    <row r="29" spans="1:9" ht="20" customHeight="1">
      <c r="A29" s="87"/>
      <c r="B29" s="331"/>
      <c r="C29" s="334"/>
      <c r="D29" s="94"/>
      <c r="E29" s="321"/>
      <c r="F29" s="94"/>
      <c r="G29" s="94"/>
      <c r="H29" s="94"/>
      <c r="I29" s="249" t="s">
        <v>101</v>
      </c>
    </row>
    <row r="30" spans="1:9" ht="20" customHeight="1">
      <c r="A30" s="87" t="s">
        <v>47</v>
      </c>
      <c r="B30" s="332"/>
      <c r="C30" s="334"/>
      <c r="D30" s="94"/>
      <c r="E30" s="296"/>
      <c r="F30" s="94"/>
      <c r="G30" s="94"/>
      <c r="H30" s="94"/>
      <c r="I30" s="254" t="s">
        <v>102</v>
      </c>
    </row>
    <row r="31" spans="1:9" ht="20" customHeight="1">
      <c r="A31" s="91"/>
      <c r="B31" s="333" t="s">
        <v>103</v>
      </c>
      <c r="C31" s="334"/>
      <c r="D31" s="94"/>
      <c r="E31" s="224" t="s">
        <v>48</v>
      </c>
      <c r="F31" s="94"/>
      <c r="G31" s="94"/>
      <c r="H31" s="94"/>
      <c r="I31" s="254" t="s">
        <v>104</v>
      </c>
    </row>
    <row r="32" spans="1:9" ht="20" customHeight="1">
      <c r="A32" s="87" t="s">
        <v>50</v>
      </c>
      <c r="B32" s="333"/>
      <c r="C32" s="334"/>
      <c r="D32" s="94"/>
      <c r="E32" s="295" t="s">
        <v>52</v>
      </c>
      <c r="F32" s="94"/>
      <c r="G32" s="94"/>
      <c r="H32" s="94"/>
      <c r="I32" s="254"/>
    </row>
    <row r="33" spans="1:9" ht="20" customHeight="1">
      <c r="A33" s="87"/>
      <c r="B33" s="333"/>
      <c r="C33" s="334"/>
      <c r="D33" s="94"/>
      <c r="E33" s="321"/>
      <c r="F33" s="94"/>
      <c r="G33" s="94"/>
      <c r="H33" s="94"/>
      <c r="I33" s="254"/>
    </row>
    <row r="34" spans="1:9" ht="20" customHeight="1">
      <c r="A34" s="87" t="s">
        <v>53</v>
      </c>
      <c r="B34" s="333"/>
      <c r="C34" s="334"/>
      <c r="D34" s="94"/>
      <c r="E34" s="321"/>
      <c r="F34" s="94"/>
      <c r="G34" s="94"/>
      <c r="H34" s="94"/>
      <c r="I34" s="254"/>
    </row>
    <row r="35" spans="1:9" ht="20" customHeight="1">
      <c r="A35" s="87"/>
      <c r="B35" s="334"/>
      <c r="C35" s="335" t="s">
        <v>105</v>
      </c>
      <c r="D35" s="94"/>
      <c r="E35" s="321"/>
      <c r="F35" s="94"/>
      <c r="G35" s="94"/>
      <c r="H35" s="94"/>
      <c r="I35" s="252" t="s">
        <v>54</v>
      </c>
    </row>
    <row r="36" spans="1:9" ht="20" customHeight="1">
      <c r="A36" s="87" t="s">
        <v>55</v>
      </c>
      <c r="B36" s="334"/>
      <c r="C36" s="336"/>
      <c r="D36" s="94"/>
      <c r="E36" s="321"/>
      <c r="F36" s="94"/>
      <c r="G36" s="94"/>
      <c r="H36" s="94"/>
      <c r="I36" s="250"/>
    </row>
    <row r="37" spans="1:9" ht="20" customHeight="1">
      <c r="A37" s="87"/>
      <c r="B37" s="334"/>
      <c r="C37" s="336"/>
      <c r="D37" s="94"/>
      <c r="E37" s="321"/>
      <c r="F37" s="94"/>
      <c r="G37" s="94"/>
      <c r="H37" s="94"/>
      <c r="I37" s="249"/>
    </row>
    <row r="38" spans="1:9" ht="20" customHeight="1">
      <c r="A38" s="87" t="s">
        <v>56</v>
      </c>
      <c r="B38" s="334"/>
      <c r="C38" s="337"/>
      <c r="D38" s="94"/>
      <c r="E38" s="296"/>
      <c r="F38" s="94"/>
      <c r="G38" s="94"/>
      <c r="H38" s="94"/>
      <c r="I38" s="253"/>
    </row>
    <row r="39" spans="1:9" ht="20" customHeight="1">
      <c r="A39" s="87"/>
      <c r="B39" s="318" t="s">
        <v>106</v>
      </c>
      <c r="C39" s="301" t="s">
        <v>107</v>
      </c>
      <c r="D39" s="94"/>
      <c r="E39" s="225" t="s">
        <v>81</v>
      </c>
      <c r="F39" s="94"/>
      <c r="G39" s="94"/>
      <c r="H39" s="94"/>
      <c r="I39" s="252"/>
    </row>
    <row r="40" spans="1:9" ht="20" customHeight="1">
      <c r="A40" s="87" t="s">
        <v>60</v>
      </c>
      <c r="B40" s="320"/>
      <c r="C40" s="303"/>
      <c r="D40" s="94"/>
      <c r="E40" s="297" t="s">
        <v>9</v>
      </c>
      <c r="F40" s="94"/>
      <c r="G40" s="94"/>
      <c r="H40" s="94"/>
      <c r="I40" s="250"/>
    </row>
    <row r="41" spans="1:9" ht="20" customHeight="1">
      <c r="A41" s="87"/>
      <c r="B41" s="319"/>
      <c r="C41" s="297" t="s">
        <v>9</v>
      </c>
      <c r="D41" s="94"/>
      <c r="E41" s="298"/>
      <c r="F41" s="94"/>
      <c r="G41" s="94"/>
      <c r="H41" s="94"/>
      <c r="I41" s="253"/>
    </row>
    <row r="42" spans="1:9" ht="20" customHeight="1">
      <c r="A42" s="87" t="s">
        <v>62</v>
      </c>
      <c r="B42" s="315" t="s">
        <v>9</v>
      </c>
      <c r="C42" s="298"/>
      <c r="D42" s="94"/>
      <c r="E42" s="298"/>
      <c r="F42" s="94"/>
      <c r="G42" s="94"/>
      <c r="H42" s="94"/>
      <c r="I42" s="253"/>
    </row>
    <row r="43" spans="1:9" ht="20" customHeight="1">
      <c r="A43" s="87"/>
      <c r="B43" s="316"/>
      <c r="C43" s="298"/>
      <c r="D43" s="94"/>
      <c r="E43" s="298"/>
      <c r="F43" s="94"/>
      <c r="G43" s="94"/>
      <c r="H43" s="94"/>
      <c r="I43" s="249"/>
    </row>
    <row r="44" spans="1:9" ht="20" customHeight="1">
      <c r="A44" s="87" t="s">
        <v>63</v>
      </c>
      <c r="B44" s="316"/>
      <c r="C44" s="298"/>
      <c r="D44" s="94"/>
      <c r="E44" s="298"/>
      <c r="F44" s="94"/>
      <c r="G44" s="94"/>
      <c r="H44" s="94"/>
      <c r="I44" s="249"/>
    </row>
    <row r="45" spans="1:9" ht="20" customHeight="1">
      <c r="A45" s="87"/>
      <c r="B45" s="316"/>
      <c r="C45" s="298"/>
      <c r="D45" s="94"/>
      <c r="E45" s="298"/>
      <c r="F45" s="94"/>
      <c r="G45" s="94"/>
      <c r="H45" s="94"/>
      <c r="I45" s="249"/>
    </row>
    <row r="46" spans="1:9" ht="20" customHeight="1">
      <c r="A46" s="87" t="s">
        <v>64</v>
      </c>
      <c r="B46" s="316"/>
      <c r="C46" s="298"/>
      <c r="D46" s="94"/>
      <c r="E46" s="298"/>
      <c r="F46" s="94"/>
      <c r="G46" s="94"/>
      <c r="H46" s="94"/>
      <c r="I46" s="252" t="s">
        <v>65</v>
      </c>
    </row>
    <row r="47" spans="1:9" ht="20" customHeight="1">
      <c r="A47" s="87"/>
      <c r="B47" s="316"/>
      <c r="C47" s="298"/>
      <c r="D47" s="94"/>
      <c r="E47" s="298"/>
      <c r="F47" s="94"/>
      <c r="G47" s="94"/>
      <c r="H47" s="94"/>
      <c r="I47" s="255"/>
    </row>
    <row r="48" spans="1:9" ht="20" customHeight="1">
      <c r="A48" s="87" t="s">
        <v>66</v>
      </c>
      <c r="B48" s="316"/>
      <c r="C48" s="298"/>
      <c r="D48" s="94"/>
      <c r="E48" s="298"/>
      <c r="F48" s="94"/>
      <c r="G48" s="94"/>
      <c r="H48" s="94"/>
      <c r="I48" s="253"/>
    </row>
    <row r="49" spans="1:14" ht="20" customHeight="1">
      <c r="A49" s="87"/>
      <c r="B49" s="316"/>
      <c r="C49" s="298"/>
      <c r="D49" s="94"/>
      <c r="E49" s="298"/>
      <c r="F49" s="94"/>
      <c r="G49" s="94"/>
      <c r="H49" s="94"/>
      <c r="I49" s="253"/>
    </row>
    <row r="50" spans="1:14" ht="20" customHeight="1">
      <c r="A50" s="87" t="s">
        <v>67</v>
      </c>
      <c r="B50" s="317"/>
      <c r="C50" s="299"/>
      <c r="D50" s="94"/>
      <c r="E50" s="299"/>
      <c r="F50" s="94"/>
      <c r="G50" s="94"/>
      <c r="H50" s="94"/>
      <c r="I50" s="249"/>
    </row>
    <row r="51" spans="1:14" ht="20" customHeight="1">
      <c r="A51" s="97" t="s">
        <v>68</v>
      </c>
      <c r="B51" s="237">
        <f t="shared" ref="B51:H55" si="0">GetColorCount(B$2:B$50,$A51)*0.5</f>
        <v>10.5</v>
      </c>
      <c r="C51" s="237">
        <f t="shared" si="0"/>
        <v>9</v>
      </c>
      <c r="D51" s="237">
        <f t="shared" si="0"/>
        <v>0</v>
      </c>
      <c r="E51" s="237">
        <f t="shared" si="0"/>
        <v>1.5</v>
      </c>
      <c r="F51" s="237">
        <f t="shared" si="0"/>
        <v>0</v>
      </c>
      <c r="G51" s="237">
        <f t="shared" si="0"/>
        <v>0</v>
      </c>
      <c r="H51" s="237">
        <f t="shared" si="0"/>
        <v>0</v>
      </c>
      <c r="I51" s="252" t="s">
        <v>69</v>
      </c>
    </row>
    <row r="52" spans="1:14" ht="20" customHeight="1">
      <c r="A52" s="99" t="s">
        <v>9</v>
      </c>
      <c r="B52" s="237">
        <f t="shared" si="0"/>
        <v>6.5</v>
      </c>
      <c r="C52" s="237">
        <f t="shared" si="0"/>
        <v>9</v>
      </c>
      <c r="D52" s="237">
        <f t="shared" si="0"/>
        <v>4</v>
      </c>
      <c r="E52" s="237">
        <f t="shared" si="0"/>
        <v>10</v>
      </c>
      <c r="F52" s="237">
        <f t="shared" si="0"/>
        <v>0</v>
      </c>
      <c r="G52" s="237">
        <f t="shared" si="0"/>
        <v>0</v>
      </c>
      <c r="H52" s="237">
        <f t="shared" si="0"/>
        <v>0</v>
      </c>
      <c r="I52" s="253" t="s">
        <v>70</v>
      </c>
    </row>
    <row r="53" spans="1:14" ht="20" customHeight="1">
      <c r="A53" s="100" t="s">
        <v>71</v>
      </c>
      <c r="B53" s="237">
        <f t="shared" si="0"/>
        <v>7</v>
      </c>
      <c r="C53" s="237">
        <f t="shared" si="0"/>
        <v>5</v>
      </c>
      <c r="D53" s="237">
        <f t="shared" si="0"/>
        <v>0</v>
      </c>
      <c r="E53" s="237">
        <f t="shared" si="0"/>
        <v>12.5</v>
      </c>
      <c r="F53" s="237">
        <f t="shared" si="0"/>
        <v>0</v>
      </c>
      <c r="G53" s="237">
        <f t="shared" si="0"/>
        <v>0</v>
      </c>
      <c r="H53" s="237">
        <f t="shared" si="0"/>
        <v>0</v>
      </c>
      <c r="I53" s="250"/>
    </row>
    <row r="54" spans="1:14" ht="20" customHeight="1">
      <c r="A54" s="101" t="s">
        <v>72</v>
      </c>
      <c r="B54" s="237">
        <f t="shared" si="0"/>
        <v>0</v>
      </c>
      <c r="C54" s="237">
        <f t="shared" si="0"/>
        <v>0</v>
      </c>
      <c r="D54" s="237">
        <f t="shared" si="0"/>
        <v>0</v>
      </c>
      <c r="E54" s="237">
        <f t="shared" si="0"/>
        <v>0</v>
      </c>
      <c r="F54" s="237">
        <f t="shared" si="0"/>
        <v>0</v>
      </c>
      <c r="G54" s="237">
        <f t="shared" si="0"/>
        <v>0</v>
      </c>
      <c r="H54" s="237">
        <f t="shared" si="0"/>
        <v>0</v>
      </c>
      <c r="I54" s="249"/>
    </row>
    <row r="55" spans="1:14" ht="20" customHeight="1">
      <c r="A55" s="102" t="s">
        <v>73</v>
      </c>
      <c r="B55" s="237">
        <f t="shared" si="0"/>
        <v>0</v>
      </c>
      <c r="C55" s="237">
        <f t="shared" si="0"/>
        <v>1</v>
      </c>
      <c r="D55" s="237">
        <f t="shared" si="0"/>
        <v>0</v>
      </c>
      <c r="E55" s="237">
        <f t="shared" si="0"/>
        <v>0</v>
      </c>
      <c r="F55" s="237">
        <f t="shared" si="0"/>
        <v>0</v>
      </c>
      <c r="G55" s="237">
        <f t="shared" si="0"/>
        <v>0</v>
      </c>
      <c r="H55" s="237">
        <f t="shared" si="0"/>
        <v>0</v>
      </c>
      <c r="I55" s="249"/>
    </row>
    <row r="56" spans="1:14" ht="20" customHeight="1">
      <c r="A56" s="85" t="s">
        <v>74</v>
      </c>
      <c r="B56" s="244">
        <f>SUM(B51:B55)</f>
        <v>24</v>
      </c>
      <c r="C56" s="244">
        <f t="shared" ref="C56:H56" si="1">SUM(C51:C55)</f>
        <v>24</v>
      </c>
      <c r="D56" s="244">
        <f t="shared" si="1"/>
        <v>4</v>
      </c>
      <c r="E56" s="244">
        <f t="shared" si="1"/>
        <v>24</v>
      </c>
      <c r="F56" s="244">
        <f t="shared" si="1"/>
        <v>0</v>
      </c>
      <c r="G56" s="244">
        <f t="shared" si="1"/>
        <v>0</v>
      </c>
      <c r="H56" s="244">
        <f t="shared" si="1"/>
        <v>0</v>
      </c>
      <c r="I56" s="253"/>
    </row>
    <row r="57" spans="1:14" ht="20" customHeight="1">
      <c r="A57" s="311" t="s">
        <v>68</v>
      </c>
      <c r="B57" s="312" t="s">
        <v>9</v>
      </c>
      <c r="C57" s="300" t="s">
        <v>75</v>
      </c>
      <c r="D57" s="307" t="s">
        <v>76</v>
      </c>
      <c r="E57" s="313" t="s">
        <v>77</v>
      </c>
      <c r="F57" s="314" t="s">
        <v>78</v>
      </c>
      <c r="G57" s="241"/>
      <c r="H57" s="241"/>
      <c r="I57" s="252" t="s">
        <v>108</v>
      </c>
    </row>
    <row r="58" spans="1:14" s="81" customFormat="1" ht="20" customHeight="1">
      <c r="A58" s="311"/>
      <c r="B58" s="312"/>
      <c r="C58" s="300"/>
      <c r="D58" s="308"/>
      <c r="E58" s="313"/>
      <c r="F58" s="314"/>
      <c r="G58" s="241"/>
      <c r="H58" s="241"/>
      <c r="I58" s="256" t="s">
        <v>109</v>
      </c>
    </row>
    <row r="59" spans="1:14" s="81" customFormat="1" ht="20" customHeight="1">
      <c r="A59" s="311"/>
      <c r="B59" s="312"/>
      <c r="C59" s="300"/>
      <c r="D59" s="308"/>
      <c r="E59" s="313"/>
      <c r="F59" s="314"/>
      <c r="G59" s="241"/>
      <c r="H59" s="241"/>
      <c r="I59" s="254"/>
    </row>
    <row r="60" spans="1:14" s="81" customFormat="1" ht="20" customHeight="1">
      <c r="A60" s="239">
        <f>SUM(B51:H51)</f>
        <v>21</v>
      </c>
      <c r="B60" s="240">
        <f>SUM(B52:H52)</f>
        <v>29.5</v>
      </c>
      <c r="C60" s="239">
        <f>SUM(B53:H53)</f>
        <v>24.5</v>
      </c>
      <c r="D60" s="239">
        <f>SUM(B54:H54)</f>
        <v>0</v>
      </c>
      <c r="E60" s="239">
        <f>SUM(B55:H55)</f>
        <v>1</v>
      </c>
      <c r="F60" s="239">
        <f>SUM(B56:H56)</f>
        <v>76</v>
      </c>
      <c r="G60" s="83"/>
      <c r="H60" s="83"/>
      <c r="I60" s="254"/>
    </row>
    <row r="61" spans="1:14" ht="15" customHeight="1">
      <c r="A61" s="231">
        <f>A60/7</f>
        <v>3</v>
      </c>
      <c r="B61" s="232">
        <f>B60/7</f>
        <v>4.2142857142857144</v>
      </c>
      <c r="C61" s="231">
        <f>C60/7</f>
        <v>3.5</v>
      </c>
      <c r="D61" s="231">
        <f>D60/7</f>
        <v>0</v>
      </c>
      <c r="E61" s="239">
        <f>E60/7</f>
        <v>0.14285714285714285</v>
      </c>
      <c r="F61" s="231"/>
      <c r="I61" s="233"/>
    </row>
    <row r="62" spans="1:14">
      <c r="I62" s="234"/>
    </row>
    <row r="63" spans="1:14">
      <c r="I63" s="309"/>
      <c r="J63" s="309"/>
      <c r="K63" s="309"/>
      <c r="L63" s="309"/>
      <c r="M63" s="309"/>
      <c r="N63" s="309"/>
    </row>
    <row r="64" spans="1:14">
      <c r="I64" s="310"/>
      <c r="J64" s="310"/>
      <c r="K64" s="310"/>
      <c r="L64" s="310"/>
      <c r="M64" s="310"/>
      <c r="N64" s="310"/>
    </row>
    <row r="65" spans="6:14">
      <c r="J65" s="81"/>
      <c r="K65" s="81"/>
      <c r="L65" s="81"/>
      <c r="M65" s="81"/>
      <c r="N65" s="81"/>
    </row>
    <row r="66" spans="6:14">
      <c r="J66" s="81"/>
      <c r="K66" s="81"/>
      <c r="L66" s="81"/>
      <c r="M66" s="81"/>
      <c r="N66" s="81"/>
    </row>
    <row r="68" spans="6:14">
      <c r="I68" s="80"/>
    </row>
    <row r="69" spans="6:14">
      <c r="I69" s="310"/>
      <c r="J69" s="310"/>
      <c r="K69" s="310"/>
      <c r="L69" s="310"/>
      <c r="M69" s="310"/>
      <c r="N69" s="310"/>
    </row>
    <row r="71" spans="6:14">
      <c r="H71" s="123"/>
      <c r="I71" s="126"/>
    </row>
    <row r="72" spans="6:14">
      <c r="H72" s="124"/>
      <c r="I72" s="126"/>
    </row>
    <row r="73" spans="6:14">
      <c r="H73" s="123"/>
      <c r="I73" s="126"/>
    </row>
    <row r="74" spans="6:14">
      <c r="H74" s="123"/>
      <c r="I74" s="126"/>
    </row>
    <row r="75" spans="6:14">
      <c r="H75" s="123"/>
      <c r="I75" s="126"/>
    </row>
    <row r="79" spans="6:14">
      <c r="F79" s="125"/>
    </row>
    <row r="96" spans="9:9">
      <c r="I96" s="80"/>
    </row>
    <row r="97" spans="9:9">
      <c r="I97" s="80"/>
    </row>
    <row r="98" spans="9:9">
      <c r="I98" s="80"/>
    </row>
    <row r="99" spans="9:9">
      <c r="I99" s="80"/>
    </row>
    <row r="100" spans="9:9">
      <c r="I100" s="80"/>
    </row>
    <row r="101" spans="9:9">
      <c r="I101" s="80"/>
    </row>
    <row r="102" spans="9:9">
      <c r="I102" s="80"/>
    </row>
    <row r="103" spans="9:9">
      <c r="I103" s="80"/>
    </row>
  </sheetData>
  <mergeCells count="30">
    <mergeCell ref="E40:E50"/>
    <mergeCell ref="E57:E59"/>
    <mergeCell ref="F57:F59"/>
    <mergeCell ref="E3:E10"/>
    <mergeCell ref="E13:E17"/>
    <mergeCell ref="E19:E20"/>
    <mergeCell ref="E22:E30"/>
    <mergeCell ref="E32:E38"/>
    <mergeCell ref="C35:C38"/>
    <mergeCell ref="C39:C40"/>
    <mergeCell ref="C41:C50"/>
    <mergeCell ref="C57:C59"/>
    <mergeCell ref="D3:D10"/>
    <mergeCell ref="D57:D59"/>
    <mergeCell ref="I63:N63"/>
    <mergeCell ref="I64:N64"/>
    <mergeCell ref="I69:N69"/>
    <mergeCell ref="A57:A59"/>
    <mergeCell ref="B3:B6"/>
    <mergeCell ref="B7:B8"/>
    <mergeCell ref="B11:B22"/>
    <mergeCell ref="B23:B30"/>
    <mergeCell ref="B31:B38"/>
    <mergeCell ref="B39:B41"/>
    <mergeCell ref="B42:B50"/>
    <mergeCell ref="B57:B59"/>
    <mergeCell ref="C3:C10"/>
    <mergeCell ref="C11:C16"/>
    <mergeCell ref="C17:C20"/>
    <mergeCell ref="C21:C34"/>
  </mergeCells>
  <phoneticPr fontId="30" type="noConversion"/>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3"/>
  <sheetViews>
    <sheetView showGridLines="0" zoomScale="59" zoomScaleNormal="80" workbookViewId="0">
      <selection activeCell="H18" sqref="H18"/>
    </sheetView>
  </sheetViews>
  <sheetFormatPr baseColWidth="10" defaultColWidth="20.83203125" defaultRowHeight="15"/>
  <cols>
    <col min="1" max="1" width="12.83203125" style="81" customWidth="1"/>
    <col min="2" max="2" width="17.1640625" style="83" customWidth="1"/>
    <col min="3" max="3" width="16.83203125" style="83" customWidth="1"/>
    <col min="4" max="4" width="17.6640625" style="83" customWidth="1"/>
    <col min="5" max="5" width="17" style="83" customWidth="1"/>
    <col min="6" max="7" width="18.33203125" style="83" customWidth="1"/>
    <col min="8" max="8" width="19.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v>44578</v>
      </c>
      <c r="C2" s="88">
        <v>44579</v>
      </c>
      <c r="D2" s="88">
        <v>44580</v>
      </c>
      <c r="E2" s="88">
        <v>44581</v>
      </c>
      <c r="F2" s="88">
        <v>44582</v>
      </c>
      <c r="G2" s="88">
        <v>44583</v>
      </c>
      <c r="H2" s="88">
        <v>44584</v>
      </c>
      <c r="I2" s="111" t="s">
        <v>7</v>
      </c>
    </row>
    <row r="3" spans="1:9" ht="20" customHeight="1">
      <c r="A3" s="87" t="s">
        <v>8</v>
      </c>
      <c r="B3" s="315" t="s">
        <v>9</v>
      </c>
      <c r="C3" s="315" t="s">
        <v>9</v>
      </c>
      <c r="D3" s="315" t="s">
        <v>9</v>
      </c>
      <c r="E3" s="88"/>
      <c r="F3" s="94"/>
      <c r="G3" s="94"/>
      <c r="H3" s="94"/>
      <c r="I3" s="112"/>
    </row>
    <row r="4" spans="1:9" ht="20" customHeight="1">
      <c r="A4" s="87" t="s">
        <v>11</v>
      </c>
      <c r="B4" s="316"/>
      <c r="C4" s="316"/>
      <c r="D4" s="316"/>
      <c r="E4" s="88"/>
      <c r="F4" s="94"/>
      <c r="G4" s="94"/>
      <c r="H4" s="94"/>
      <c r="I4" s="112"/>
    </row>
    <row r="5" spans="1:9" ht="20" customHeight="1">
      <c r="A5" s="87"/>
      <c r="B5" s="316"/>
      <c r="C5" s="316"/>
      <c r="D5" s="316"/>
      <c r="E5" s="88"/>
      <c r="F5" s="94"/>
      <c r="G5" s="94"/>
      <c r="H5" s="94"/>
      <c r="I5" s="112"/>
    </row>
    <row r="6" spans="1:9" ht="20" customHeight="1">
      <c r="A6" s="87" t="s">
        <v>13</v>
      </c>
      <c r="B6" s="316"/>
      <c r="C6" s="316"/>
      <c r="D6" s="316"/>
      <c r="E6" s="88"/>
      <c r="F6" s="94"/>
      <c r="G6" s="94"/>
      <c r="H6" s="94"/>
      <c r="I6" s="112"/>
    </row>
    <row r="7" spans="1:9" ht="20" customHeight="1">
      <c r="A7" s="87"/>
      <c r="B7" s="316"/>
      <c r="C7" s="317"/>
      <c r="D7" s="316"/>
      <c r="E7" s="88"/>
      <c r="F7" s="94"/>
      <c r="G7" s="94"/>
      <c r="H7" s="94"/>
      <c r="I7" s="112"/>
    </row>
    <row r="8" spans="1:9" ht="20" customHeight="1">
      <c r="A8" s="87" t="s">
        <v>14</v>
      </c>
      <c r="B8" s="316"/>
      <c r="C8" s="338" t="s">
        <v>81</v>
      </c>
      <c r="D8" s="316"/>
      <c r="E8" s="88"/>
      <c r="F8" s="94"/>
      <c r="G8" s="94"/>
      <c r="H8" s="94"/>
      <c r="I8" s="112"/>
    </row>
    <row r="9" spans="1:9" ht="20" customHeight="1">
      <c r="A9" s="87"/>
      <c r="B9" s="317"/>
      <c r="C9" s="339"/>
      <c r="D9" s="316"/>
      <c r="E9" s="94"/>
      <c r="F9" s="94"/>
      <c r="G9" s="94"/>
      <c r="H9" s="94"/>
      <c r="I9" s="111" t="s">
        <v>17</v>
      </c>
    </row>
    <row r="10" spans="1:9" ht="20" customHeight="1">
      <c r="A10" s="87" t="s">
        <v>18</v>
      </c>
      <c r="B10" s="92" t="s">
        <v>16</v>
      </c>
      <c r="C10" s="92" t="s">
        <v>16</v>
      </c>
      <c r="D10" s="317"/>
      <c r="E10" s="94"/>
      <c r="F10" s="94"/>
      <c r="G10" s="94"/>
      <c r="H10" s="94"/>
      <c r="I10" s="112"/>
    </row>
    <row r="11" spans="1:9" ht="20" customHeight="1">
      <c r="A11" s="87"/>
      <c r="B11" s="223" t="s">
        <v>21</v>
      </c>
      <c r="C11" s="223" t="s">
        <v>21</v>
      </c>
      <c r="D11" s="223" t="s">
        <v>21</v>
      </c>
      <c r="E11" s="94"/>
      <c r="F11" s="94"/>
      <c r="G11" s="94"/>
      <c r="H11" s="94"/>
      <c r="I11" s="113"/>
    </row>
    <row r="12" spans="1:9" ht="20" customHeight="1">
      <c r="A12" s="87" t="s">
        <v>23</v>
      </c>
      <c r="B12" s="223" t="s">
        <v>110</v>
      </c>
      <c r="C12" s="223" t="s">
        <v>110</v>
      </c>
      <c r="D12" s="223" t="s">
        <v>110</v>
      </c>
      <c r="E12" s="94"/>
      <c r="F12" s="94"/>
      <c r="G12" s="94"/>
      <c r="H12" s="94"/>
      <c r="I12" s="112"/>
    </row>
    <row r="13" spans="1:9" ht="20" customHeight="1">
      <c r="A13" s="87"/>
      <c r="B13" s="318" t="s">
        <v>111</v>
      </c>
      <c r="C13" s="318" t="s">
        <v>112</v>
      </c>
      <c r="D13" s="318" t="s">
        <v>113</v>
      </c>
      <c r="E13" s="94"/>
      <c r="F13" s="94"/>
      <c r="G13" s="94"/>
      <c r="H13" s="94"/>
      <c r="I13" s="112"/>
    </row>
    <row r="14" spans="1:9" ht="20" customHeight="1">
      <c r="A14" s="87" t="s">
        <v>28</v>
      </c>
      <c r="B14" s="320"/>
      <c r="C14" s="320"/>
      <c r="D14" s="320"/>
      <c r="E14" s="94"/>
      <c r="F14" s="94"/>
      <c r="G14" s="94"/>
      <c r="H14" s="94"/>
      <c r="I14" s="111" t="s">
        <v>29</v>
      </c>
    </row>
    <row r="15" spans="1:9" ht="20" customHeight="1">
      <c r="A15" s="87"/>
      <c r="B15" s="320"/>
      <c r="C15" s="320"/>
      <c r="D15" s="320"/>
      <c r="E15" s="94"/>
      <c r="F15" s="94"/>
      <c r="G15" s="94"/>
      <c r="H15" s="94"/>
      <c r="I15" s="114" t="s">
        <v>114</v>
      </c>
    </row>
    <row r="16" spans="1:9" ht="20" customHeight="1">
      <c r="A16" s="87" t="s">
        <v>31</v>
      </c>
      <c r="B16" s="320"/>
      <c r="C16" s="320"/>
      <c r="D16" s="320"/>
      <c r="E16" s="94"/>
      <c r="F16" s="94"/>
      <c r="G16" s="94"/>
      <c r="H16" s="94"/>
      <c r="I16" s="113" t="s">
        <v>115</v>
      </c>
    </row>
    <row r="17" spans="1:9" ht="20" customHeight="1">
      <c r="A17" s="87"/>
      <c r="B17" s="319"/>
      <c r="C17" s="319"/>
      <c r="D17" s="319"/>
      <c r="E17" s="94"/>
      <c r="F17" s="94"/>
      <c r="G17" s="94"/>
      <c r="H17" s="94"/>
      <c r="I17" s="112"/>
    </row>
    <row r="18" spans="1:9" ht="20" customHeight="1">
      <c r="A18" s="91" t="s">
        <v>34</v>
      </c>
      <c r="B18" s="223" t="s">
        <v>35</v>
      </c>
      <c r="C18" s="223" t="s">
        <v>35</v>
      </c>
      <c r="D18" s="223" t="s">
        <v>91</v>
      </c>
      <c r="E18" s="94"/>
      <c r="F18" s="94"/>
      <c r="G18" s="94"/>
      <c r="H18" s="94"/>
      <c r="I18" s="112"/>
    </row>
    <row r="19" spans="1:9" ht="20" customHeight="1">
      <c r="A19" s="87"/>
      <c r="B19" s="92" t="s">
        <v>81</v>
      </c>
      <c r="C19" s="325" t="s">
        <v>116</v>
      </c>
      <c r="D19" s="318" t="s">
        <v>81</v>
      </c>
      <c r="E19" s="88"/>
      <c r="F19" s="94"/>
      <c r="G19" s="94"/>
      <c r="H19" s="94"/>
      <c r="I19" s="114"/>
    </row>
    <row r="20" spans="1:9" ht="20" customHeight="1">
      <c r="A20" s="87" t="s">
        <v>37</v>
      </c>
      <c r="B20" s="315" t="s">
        <v>117</v>
      </c>
      <c r="C20" s="326"/>
      <c r="D20" s="319"/>
      <c r="E20" s="88"/>
      <c r="F20" s="94"/>
      <c r="G20" s="94"/>
      <c r="H20" s="94"/>
      <c r="I20" s="114"/>
    </row>
    <row r="21" spans="1:9" ht="20" customHeight="1">
      <c r="A21" s="87"/>
      <c r="B21" s="317"/>
      <c r="C21" s="327"/>
      <c r="D21" s="105" t="s">
        <v>117</v>
      </c>
      <c r="E21" s="93"/>
      <c r="F21" s="94"/>
      <c r="G21" s="94"/>
      <c r="H21" s="94"/>
      <c r="I21" s="112"/>
    </row>
    <row r="22" spans="1:9" ht="20" customHeight="1">
      <c r="A22" s="87" t="s">
        <v>40</v>
      </c>
      <c r="B22" s="318" t="s">
        <v>118</v>
      </c>
      <c r="C22" s="340" t="s">
        <v>119</v>
      </c>
      <c r="D22" s="94"/>
      <c r="E22" s="94"/>
      <c r="F22" s="94"/>
      <c r="G22" s="94"/>
      <c r="H22" s="94"/>
      <c r="I22" s="111" t="s">
        <v>42</v>
      </c>
    </row>
    <row r="23" spans="1:9" ht="20" customHeight="1">
      <c r="A23" s="87"/>
      <c r="B23" s="320"/>
      <c r="C23" s="341"/>
      <c r="D23" s="94"/>
      <c r="E23" s="94"/>
      <c r="F23" s="94"/>
      <c r="G23" s="94"/>
      <c r="H23" s="94"/>
      <c r="I23" s="112"/>
    </row>
    <row r="24" spans="1:9" ht="20" customHeight="1">
      <c r="A24" s="87" t="s">
        <v>44</v>
      </c>
      <c r="B24" s="320"/>
      <c r="C24" s="341"/>
      <c r="D24" s="94"/>
      <c r="E24" s="94"/>
      <c r="F24" s="94"/>
      <c r="G24" s="94"/>
      <c r="H24" s="94"/>
      <c r="I24" s="112"/>
    </row>
    <row r="25" spans="1:9" ht="20" customHeight="1">
      <c r="A25" s="87"/>
      <c r="B25" s="320"/>
      <c r="C25" s="341"/>
      <c r="D25" s="94"/>
      <c r="E25" s="94"/>
      <c r="F25" s="94"/>
      <c r="G25" s="94"/>
      <c r="H25" s="94"/>
      <c r="I25" s="112"/>
    </row>
    <row r="26" spans="1:9" ht="20" customHeight="1">
      <c r="A26" s="87" t="s">
        <v>45</v>
      </c>
      <c r="B26" s="320"/>
      <c r="C26" s="341"/>
      <c r="D26" s="94"/>
      <c r="E26" s="94"/>
      <c r="F26" s="94"/>
      <c r="G26" s="94"/>
      <c r="H26" s="94"/>
      <c r="I26" s="114"/>
    </row>
    <row r="27" spans="1:9" ht="23" customHeight="1">
      <c r="A27" s="87"/>
      <c r="B27" s="320"/>
      <c r="C27" s="341"/>
      <c r="D27" s="94"/>
      <c r="E27" s="94"/>
      <c r="F27" s="94"/>
      <c r="G27" s="94"/>
      <c r="H27" s="94"/>
      <c r="I27" s="112"/>
    </row>
    <row r="28" spans="1:9" ht="20" customHeight="1">
      <c r="A28" s="87" t="s">
        <v>46</v>
      </c>
      <c r="B28" s="320"/>
      <c r="C28" s="341"/>
      <c r="D28" s="94"/>
      <c r="E28" s="94"/>
      <c r="F28" s="94"/>
      <c r="G28" s="94"/>
      <c r="H28" s="94"/>
      <c r="I28" s="112"/>
    </row>
    <row r="29" spans="1:9" ht="20" customHeight="1">
      <c r="A29" s="87"/>
      <c r="B29" s="320"/>
      <c r="C29" s="341"/>
      <c r="D29" s="94"/>
      <c r="E29" s="94"/>
      <c r="F29" s="94"/>
      <c r="G29" s="94"/>
      <c r="H29" s="94"/>
      <c r="I29" s="112"/>
    </row>
    <row r="30" spans="1:9" ht="20" customHeight="1">
      <c r="A30" s="87" t="s">
        <v>47</v>
      </c>
      <c r="B30" s="320"/>
      <c r="C30" s="341"/>
      <c r="D30" s="94"/>
      <c r="E30" s="94"/>
      <c r="F30" s="94"/>
      <c r="G30" s="94"/>
      <c r="H30" s="94"/>
      <c r="I30" s="115"/>
    </row>
    <row r="31" spans="1:9" ht="20" customHeight="1">
      <c r="A31" s="91"/>
      <c r="B31" s="319"/>
      <c r="C31" s="342"/>
      <c r="D31" s="94"/>
      <c r="E31" s="94"/>
      <c r="F31" s="94"/>
      <c r="G31" s="94"/>
      <c r="H31" s="94"/>
      <c r="I31" s="115"/>
    </row>
    <row r="32" spans="1:9" ht="20" customHeight="1">
      <c r="A32" s="87" t="s">
        <v>50</v>
      </c>
      <c r="B32" s="227" t="s">
        <v>48</v>
      </c>
      <c r="C32" s="346" t="s">
        <v>120</v>
      </c>
      <c r="D32" s="94"/>
      <c r="E32" s="94"/>
      <c r="F32" s="94"/>
      <c r="G32" s="94"/>
      <c r="H32" s="94"/>
      <c r="I32" s="115"/>
    </row>
    <row r="33" spans="1:9" ht="20" customHeight="1">
      <c r="A33" s="87"/>
      <c r="B33" s="343" t="s">
        <v>121</v>
      </c>
      <c r="C33" s="347"/>
      <c r="D33" s="94"/>
      <c r="E33" s="94"/>
      <c r="F33" s="94"/>
      <c r="G33" s="94"/>
      <c r="H33" s="94"/>
      <c r="I33" s="115"/>
    </row>
    <row r="34" spans="1:9" ht="20" customHeight="1">
      <c r="A34" s="87" t="s">
        <v>53</v>
      </c>
      <c r="B34" s="344"/>
      <c r="C34" s="346" t="s">
        <v>116</v>
      </c>
      <c r="D34" s="94"/>
      <c r="E34" s="94"/>
      <c r="F34" s="94"/>
      <c r="G34" s="94"/>
      <c r="H34" s="94"/>
      <c r="I34" s="115"/>
    </row>
    <row r="35" spans="1:9" ht="20" customHeight="1">
      <c r="A35" s="87"/>
      <c r="B35" s="344"/>
      <c r="C35" s="348"/>
      <c r="D35" s="94"/>
      <c r="E35" s="94"/>
      <c r="F35" s="94"/>
      <c r="G35" s="94"/>
      <c r="H35" s="94"/>
      <c r="I35" s="111" t="s">
        <v>54</v>
      </c>
    </row>
    <row r="36" spans="1:9" ht="20" customHeight="1">
      <c r="A36" s="87" t="s">
        <v>55</v>
      </c>
      <c r="B36" s="344"/>
      <c r="C36" s="348"/>
      <c r="D36" s="94"/>
      <c r="E36" s="94"/>
      <c r="F36" s="94"/>
      <c r="G36" s="94"/>
      <c r="H36" s="94"/>
      <c r="I36" s="113"/>
    </row>
    <row r="37" spans="1:9" ht="20" customHeight="1">
      <c r="A37" s="87"/>
      <c r="B37" s="344"/>
      <c r="C37" s="348"/>
      <c r="D37" s="94"/>
      <c r="E37" s="94"/>
      <c r="F37" s="94"/>
      <c r="G37" s="94"/>
      <c r="H37" s="94"/>
      <c r="I37" s="112"/>
    </row>
    <row r="38" spans="1:9" ht="20" customHeight="1">
      <c r="A38" s="87" t="s">
        <v>56</v>
      </c>
      <c r="B38" s="345"/>
      <c r="C38" s="348"/>
      <c r="D38" s="94"/>
      <c r="E38" s="94"/>
      <c r="F38" s="94"/>
      <c r="G38" s="94"/>
      <c r="H38" s="94"/>
      <c r="I38" s="114"/>
    </row>
    <row r="39" spans="1:9" ht="20" customHeight="1">
      <c r="A39" s="87"/>
      <c r="B39" s="223" t="s">
        <v>122</v>
      </c>
      <c r="C39" s="348"/>
      <c r="D39" s="94"/>
      <c r="E39" s="94"/>
      <c r="F39" s="94"/>
      <c r="G39" s="94"/>
      <c r="H39" s="94"/>
      <c r="I39" s="111"/>
    </row>
    <row r="40" spans="1:9" ht="20" customHeight="1">
      <c r="A40" s="87" t="s">
        <v>60</v>
      </c>
      <c r="B40" s="92" t="s">
        <v>81</v>
      </c>
      <c r="C40" s="348"/>
      <c r="D40" s="94"/>
      <c r="E40" s="94"/>
      <c r="F40" s="94"/>
      <c r="G40" s="94"/>
      <c r="H40" s="94"/>
      <c r="I40" s="113"/>
    </row>
    <row r="41" spans="1:9" ht="20" customHeight="1">
      <c r="A41" s="87"/>
      <c r="B41" s="315" t="s">
        <v>9</v>
      </c>
      <c r="C41" s="347"/>
      <c r="D41" s="94"/>
      <c r="E41" s="94"/>
      <c r="F41" s="94"/>
      <c r="G41" s="94"/>
      <c r="H41" s="94"/>
      <c r="I41" s="114"/>
    </row>
    <row r="42" spans="1:9" ht="20" customHeight="1">
      <c r="A42" s="87" t="s">
        <v>62</v>
      </c>
      <c r="B42" s="316"/>
      <c r="C42" s="297" t="s">
        <v>9</v>
      </c>
      <c r="D42" s="94"/>
      <c r="E42" s="94"/>
      <c r="F42" s="94"/>
      <c r="G42" s="94"/>
      <c r="H42" s="94"/>
      <c r="I42" s="114"/>
    </row>
    <row r="43" spans="1:9" ht="20" customHeight="1">
      <c r="A43" s="87"/>
      <c r="B43" s="316"/>
      <c r="C43" s="298"/>
      <c r="D43" s="94"/>
      <c r="E43" s="94"/>
      <c r="F43" s="94"/>
      <c r="G43" s="94"/>
      <c r="H43" s="94"/>
      <c r="I43" s="112"/>
    </row>
    <row r="44" spans="1:9" ht="20" customHeight="1">
      <c r="A44" s="87" t="s">
        <v>63</v>
      </c>
      <c r="B44" s="316"/>
      <c r="C44" s="298"/>
      <c r="D44" s="94"/>
      <c r="E44" s="94"/>
      <c r="F44" s="94"/>
      <c r="G44" s="94"/>
      <c r="H44" s="94"/>
      <c r="I44" s="112"/>
    </row>
    <row r="45" spans="1:9" ht="20" customHeight="1">
      <c r="A45" s="87"/>
      <c r="B45" s="316"/>
      <c r="C45" s="298"/>
      <c r="D45" s="94"/>
      <c r="E45" s="94"/>
      <c r="F45" s="94"/>
      <c r="G45" s="94"/>
      <c r="H45" s="94"/>
      <c r="I45" s="112"/>
    </row>
    <row r="46" spans="1:9" ht="20" customHeight="1">
      <c r="A46" s="87" t="s">
        <v>64</v>
      </c>
      <c r="B46" s="316"/>
      <c r="C46" s="298"/>
      <c r="D46" s="94"/>
      <c r="E46" s="94"/>
      <c r="F46" s="94"/>
      <c r="G46" s="94"/>
      <c r="H46" s="94"/>
      <c r="I46" s="111" t="s">
        <v>65</v>
      </c>
    </row>
    <row r="47" spans="1:9" ht="20" customHeight="1">
      <c r="A47" s="87"/>
      <c r="B47" s="316"/>
      <c r="C47" s="298"/>
      <c r="D47" s="94"/>
      <c r="E47" s="94"/>
      <c r="F47" s="94"/>
      <c r="G47" s="94"/>
      <c r="H47" s="94"/>
      <c r="I47" s="116"/>
    </row>
    <row r="48" spans="1:9" ht="20" customHeight="1">
      <c r="A48" s="87" t="s">
        <v>66</v>
      </c>
      <c r="B48" s="316"/>
      <c r="C48" s="298"/>
      <c r="D48" s="94"/>
      <c r="E48" s="94"/>
      <c r="F48" s="94"/>
      <c r="G48" s="94"/>
      <c r="H48" s="94"/>
      <c r="I48" s="114"/>
    </row>
    <row r="49" spans="1:14" ht="20" customHeight="1">
      <c r="A49" s="87"/>
      <c r="B49" s="316"/>
      <c r="C49" s="298"/>
      <c r="D49" s="94"/>
      <c r="E49" s="94"/>
      <c r="F49" s="94"/>
      <c r="G49" s="94"/>
      <c r="H49" s="94"/>
      <c r="I49" s="114"/>
    </row>
    <row r="50" spans="1:14" ht="20" customHeight="1">
      <c r="A50" s="87" t="s">
        <v>67</v>
      </c>
      <c r="B50" s="317"/>
      <c r="C50" s="299"/>
      <c r="D50" s="94"/>
      <c r="E50" s="94"/>
      <c r="F50" s="94"/>
      <c r="G50" s="94"/>
      <c r="H50" s="94"/>
      <c r="I50" s="112"/>
    </row>
    <row r="51" spans="1:14" ht="20" customHeight="1">
      <c r="A51" s="97" t="s">
        <v>68</v>
      </c>
      <c r="B51" s="237">
        <f t="shared" ref="B51:H55" si="0">GetColorCount(B$2:B$50,$A51)*0.5</f>
        <v>2.5</v>
      </c>
      <c r="C51" s="237">
        <f t="shared" si="0"/>
        <v>8</v>
      </c>
      <c r="D51" s="237">
        <f t="shared" si="0"/>
        <v>1.5</v>
      </c>
      <c r="E51" s="237">
        <f t="shared" si="0"/>
        <v>0</v>
      </c>
      <c r="F51" s="237">
        <f t="shared" si="0"/>
        <v>0</v>
      </c>
      <c r="G51" s="237">
        <f t="shared" si="0"/>
        <v>0</v>
      </c>
      <c r="H51" s="237">
        <f t="shared" si="0"/>
        <v>0</v>
      </c>
      <c r="I51" s="117" t="s">
        <v>123</v>
      </c>
    </row>
    <row r="52" spans="1:14" ht="20" customHeight="1">
      <c r="A52" s="99" t="s">
        <v>9</v>
      </c>
      <c r="B52" s="237">
        <f t="shared" si="0"/>
        <v>9.5</v>
      </c>
      <c r="C52" s="237">
        <f t="shared" si="0"/>
        <v>7</v>
      </c>
      <c r="D52" s="237">
        <f t="shared" si="0"/>
        <v>4.5</v>
      </c>
      <c r="E52" s="237">
        <f t="shared" si="0"/>
        <v>0</v>
      </c>
      <c r="F52" s="237">
        <f t="shared" si="0"/>
        <v>0</v>
      </c>
      <c r="G52" s="237">
        <f t="shared" si="0"/>
        <v>0</v>
      </c>
      <c r="H52" s="237">
        <f t="shared" si="0"/>
        <v>0</v>
      </c>
      <c r="I52" s="118"/>
    </row>
    <row r="53" spans="1:14" ht="20" customHeight="1">
      <c r="A53" s="100" t="s">
        <v>71</v>
      </c>
      <c r="B53" s="237">
        <f t="shared" si="0"/>
        <v>9</v>
      </c>
      <c r="C53" s="237">
        <f t="shared" si="0"/>
        <v>8</v>
      </c>
      <c r="D53" s="237">
        <f t="shared" si="0"/>
        <v>3.5</v>
      </c>
      <c r="E53" s="237">
        <f t="shared" si="0"/>
        <v>0</v>
      </c>
      <c r="F53" s="237">
        <f t="shared" si="0"/>
        <v>0</v>
      </c>
      <c r="G53" s="237">
        <f t="shared" si="0"/>
        <v>0</v>
      </c>
      <c r="H53" s="237">
        <f t="shared" si="0"/>
        <v>0</v>
      </c>
      <c r="I53" s="110"/>
    </row>
    <row r="54" spans="1:14" ht="20" customHeight="1">
      <c r="A54" s="101" t="s">
        <v>72</v>
      </c>
      <c r="B54" s="237">
        <f t="shared" si="0"/>
        <v>0</v>
      </c>
      <c r="C54" s="237">
        <f t="shared" si="0"/>
        <v>0</v>
      </c>
      <c r="D54" s="237">
        <f t="shared" si="0"/>
        <v>0</v>
      </c>
      <c r="E54" s="237">
        <f t="shared" si="0"/>
        <v>0</v>
      </c>
      <c r="F54" s="237">
        <f t="shared" si="0"/>
        <v>0</v>
      </c>
      <c r="G54" s="237">
        <f t="shared" si="0"/>
        <v>0</v>
      </c>
      <c r="H54" s="237">
        <f t="shared" si="0"/>
        <v>0</v>
      </c>
      <c r="I54" s="119"/>
    </row>
    <row r="55" spans="1:14" ht="20" customHeight="1">
      <c r="A55" s="102" t="s">
        <v>73</v>
      </c>
      <c r="B55" s="237">
        <f t="shared" si="0"/>
        <v>3</v>
      </c>
      <c r="C55" s="237">
        <f t="shared" si="0"/>
        <v>1</v>
      </c>
      <c r="D55" s="237">
        <f t="shared" si="0"/>
        <v>0</v>
      </c>
      <c r="E55" s="237">
        <f t="shared" si="0"/>
        <v>0</v>
      </c>
      <c r="F55" s="237">
        <f t="shared" si="0"/>
        <v>0</v>
      </c>
      <c r="G55" s="237">
        <f t="shared" si="0"/>
        <v>0</v>
      </c>
      <c r="H55" s="237">
        <f t="shared" si="0"/>
        <v>0</v>
      </c>
      <c r="I55" s="119"/>
    </row>
    <row r="56" spans="1:14" s="81" customFormat="1" ht="20" customHeight="1">
      <c r="A56" s="85" t="s">
        <v>74</v>
      </c>
      <c r="B56" s="238">
        <f>SUM(B51:B55)</f>
        <v>24</v>
      </c>
      <c r="C56" s="238">
        <f t="shared" ref="C56:H56" si="1">SUM(C51:C55)</f>
        <v>24</v>
      </c>
      <c r="D56" s="238">
        <f t="shared" si="1"/>
        <v>9.5</v>
      </c>
      <c r="E56" s="238">
        <f t="shared" si="1"/>
        <v>0</v>
      </c>
      <c r="F56" s="238">
        <f t="shared" si="1"/>
        <v>0</v>
      </c>
      <c r="G56" s="238">
        <f t="shared" si="1"/>
        <v>0</v>
      </c>
      <c r="H56" s="238">
        <f t="shared" si="1"/>
        <v>0</v>
      </c>
      <c r="I56" s="242"/>
    </row>
    <row r="57" spans="1:14" ht="20" customHeight="1">
      <c r="A57" s="311" t="s">
        <v>68</v>
      </c>
      <c r="B57" s="312" t="s">
        <v>9</v>
      </c>
      <c r="C57" s="300" t="s">
        <v>75</v>
      </c>
      <c r="D57" s="307" t="s">
        <v>76</v>
      </c>
      <c r="E57" s="313" t="s">
        <v>77</v>
      </c>
      <c r="F57" s="314" t="s">
        <v>78</v>
      </c>
      <c r="G57" s="241"/>
      <c r="H57" s="241"/>
      <c r="I57" s="117" t="s">
        <v>108</v>
      </c>
    </row>
    <row r="58" spans="1:14" s="81" customFormat="1" ht="20" customHeight="1">
      <c r="A58" s="311"/>
      <c r="B58" s="312"/>
      <c r="C58" s="300"/>
      <c r="D58" s="308"/>
      <c r="E58" s="313"/>
      <c r="F58" s="314"/>
      <c r="G58" s="241"/>
      <c r="H58" s="241"/>
      <c r="I58" s="121"/>
    </row>
    <row r="59" spans="1:14" s="81" customFormat="1" ht="20" customHeight="1">
      <c r="A59" s="311"/>
      <c r="B59" s="312"/>
      <c r="C59" s="300"/>
      <c r="D59" s="308"/>
      <c r="E59" s="313"/>
      <c r="F59" s="314"/>
      <c r="G59" s="241"/>
      <c r="H59" s="241"/>
      <c r="I59" s="95"/>
    </row>
    <row r="60" spans="1:14" s="81" customFormat="1" ht="20" customHeight="1">
      <c r="A60" s="239">
        <f>SUM(B51:H51)</f>
        <v>12</v>
      </c>
      <c r="B60" s="240">
        <f>SUM(B52:H52)</f>
        <v>21</v>
      </c>
      <c r="C60" s="239">
        <f>SUM(B53:H53)</f>
        <v>20.5</v>
      </c>
      <c r="D60" s="239">
        <f>SUM(B54:H54)</f>
        <v>0</v>
      </c>
      <c r="E60" s="239">
        <f>SUM(B55:H55)</f>
        <v>4</v>
      </c>
      <c r="F60" s="239">
        <f>SUM(B56:H56)</f>
        <v>57.5</v>
      </c>
      <c r="G60" s="83"/>
      <c r="H60" s="83"/>
      <c r="I60" s="95"/>
    </row>
    <row r="61" spans="1:14" ht="15" customHeight="1">
      <c r="A61" s="231">
        <f>A60/7</f>
        <v>1.7142857142857142</v>
      </c>
      <c r="B61" s="232">
        <f>B60/7</f>
        <v>3</v>
      </c>
      <c r="C61" s="231">
        <f>C60/7</f>
        <v>2.9285714285714284</v>
      </c>
      <c r="D61" s="231">
        <f>D60/7</f>
        <v>0</v>
      </c>
      <c r="E61" s="239">
        <f>E60/7</f>
        <v>0.5714285714285714</v>
      </c>
      <c r="F61" s="231"/>
      <c r="I61" s="233"/>
    </row>
    <row r="62" spans="1:14">
      <c r="I62" s="234"/>
    </row>
    <row r="63" spans="1:14">
      <c r="I63" s="309"/>
      <c r="J63" s="309"/>
      <c r="K63" s="309"/>
      <c r="L63" s="309"/>
      <c r="M63" s="309"/>
      <c r="N63" s="309"/>
    </row>
    <row r="64" spans="1:14">
      <c r="I64" s="310"/>
      <c r="J64" s="310"/>
      <c r="K64" s="310"/>
      <c r="L64" s="310"/>
      <c r="M64" s="310"/>
      <c r="N64" s="310"/>
    </row>
    <row r="65" spans="6:14">
      <c r="J65" s="81"/>
      <c r="K65" s="81"/>
      <c r="L65" s="81"/>
      <c r="M65" s="81"/>
      <c r="N65" s="81"/>
    </row>
    <row r="66" spans="6:14">
      <c r="J66" s="81"/>
      <c r="K66" s="81"/>
      <c r="L66" s="81"/>
      <c r="M66" s="81"/>
      <c r="N66" s="81"/>
    </row>
    <row r="68" spans="6:14">
      <c r="I68" s="80"/>
    </row>
    <row r="69" spans="6:14">
      <c r="I69" s="310"/>
      <c r="J69" s="310"/>
      <c r="K69" s="310"/>
      <c r="L69" s="310"/>
      <c r="M69" s="310"/>
      <c r="N69" s="310"/>
    </row>
    <row r="71" spans="6:14">
      <c r="H71" s="123"/>
      <c r="I71" s="126"/>
    </row>
    <row r="72" spans="6:14">
      <c r="H72" s="124"/>
      <c r="I72" s="126"/>
    </row>
    <row r="73" spans="6:14">
      <c r="H73" s="123"/>
      <c r="I73" s="126"/>
    </row>
    <row r="74" spans="6:14">
      <c r="H74" s="123"/>
      <c r="I74" s="126"/>
    </row>
    <row r="75" spans="6:14">
      <c r="H75" s="123"/>
      <c r="I75" s="126"/>
    </row>
    <row r="79" spans="6:14">
      <c r="F79" s="125"/>
    </row>
    <row r="96" spans="9:9">
      <c r="I96" s="80"/>
    </row>
    <row r="97" spans="9:9">
      <c r="I97" s="80"/>
    </row>
    <row r="98" spans="9:9">
      <c r="I98" s="80"/>
    </row>
    <row r="99" spans="9:9">
      <c r="I99" s="80"/>
    </row>
    <row r="100" spans="9:9">
      <c r="I100" s="80"/>
    </row>
    <row r="101" spans="9:9">
      <c r="I101" s="80"/>
    </row>
    <row r="102" spans="9:9">
      <c r="I102" s="80"/>
    </row>
    <row r="103" spans="9:9">
      <c r="I103" s="80"/>
    </row>
  </sheetData>
  <mergeCells count="26">
    <mergeCell ref="D57:D59"/>
    <mergeCell ref="I63:N63"/>
    <mergeCell ref="E57:E59"/>
    <mergeCell ref="F57:F59"/>
    <mergeCell ref="I64:N64"/>
    <mergeCell ref="I69:N69"/>
    <mergeCell ref="C22:C31"/>
    <mergeCell ref="A57:A59"/>
    <mergeCell ref="B3:B9"/>
    <mergeCell ref="B13:B17"/>
    <mergeCell ref="B20:B21"/>
    <mergeCell ref="B22:B31"/>
    <mergeCell ref="B33:B38"/>
    <mergeCell ref="B41:B50"/>
    <mergeCell ref="B57:B59"/>
    <mergeCell ref="C32:C33"/>
    <mergeCell ref="C34:C41"/>
    <mergeCell ref="C42:C50"/>
    <mergeCell ref="C57:C59"/>
    <mergeCell ref="D3:D10"/>
    <mergeCell ref="C3:C7"/>
    <mergeCell ref="C8:C9"/>
    <mergeCell ref="C13:C17"/>
    <mergeCell ref="C19:C21"/>
    <mergeCell ref="D13:D17"/>
    <mergeCell ref="D19:D20"/>
  </mergeCells>
  <phoneticPr fontId="30" type="noConversion"/>
  <pageMargins left="0.75" right="0.75" top="1" bottom="1" header="0.51180555555555596" footer="0.5118055555555559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05"/>
  <sheetViews>
    <sheetView showGridLines="0" topLeftCell="A37" zoomScale="50" zoomScaleNormal="82" workbookViewId="0">
      <selection activeCell="L74" sqref="L74"/>
    </sheetView>
  </sheetViews>
  <sheetFormatPr baseColWidth="10" defaultColWidth="20.83203125" defaultRowHeight="20" customHeight="1"/>
  <cols>
    <col min="1" max="1" width="14.83203125" style="81" customWidth="1"/>
    <col min="2" max="2" width="17.1640625" style="83" customWidth="1"/>
    <col min="3" max="3" width="16.83203125" style="83" customWidth="1"/>
    <col min="4" max="4" width="17.6640625" style="83" customWidth="1"/>
    <col min="5" max="5" width="17" style="83" customWidth="1"/>
    <col min="6" max="7" width="18.33203125" style="83" customWidth="1"/>
    <col min="8" max="8" width="19.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v>44585</v>
      </c>
      <c r="C2" s="88">
        <v>44586</v>
      </c>
      <c r="D2" s="88">
        <v>44587</v>
      </c>
      <c r="E2" s="88">
        <v>44588</v>
      </c>
      <c r="F2" s="88">
        <v>44589</v>
      </c>
      <c r="G2" s="88">
        <v>44590</v>
      </c>
      <c r="H2" s="88">
        <v>44591</v>
      </c>
      <c r="I2" s="111" t="s">
        <v>7</v>
      </c>
    </row>
    <row r="3" spans="1:9" ht="20" customHeight="1">
      <c r="A3" s="87" t="s">
        <v>8</v>
      </c>
      <c r="B3" s="315" t="s">
        <v>9</v>
      </c>
      <c r="C3" s="315" t="s">
        <v>9</v>
      </c>
      <c r="D3" s="315" t="s">
        <v>9</v>
      </c>
      <c r="E3" s="88"/>
      <c r="F3" s="94"/>
      <c r="G3" s="297" t="s">
        <v>9</v>
      </c>
      <c r="H3" s="94"/>
      <c r="I3" s="112"/>
    </row>
    <row r="4" spans="1:9" ht="20" customHeight="1">
      <c r="A4" s="87" t="s">
        <v>11</v>
      </c>
      <c r="B4" s="316"/>
      <c r="C4" s="316"/>
      <c r="D4" s="316"/>
      <c r="E4" s="88"/>
      <c r="F4" s="94"/>
      <c r="G4" s="298"/>
      <c r="H4" s="94"/>
      <c r="I4" s="112"/>
    </row>
    <row r="5" spans="1:9" ht="20" customHeight="1">
      <c r="A5" s="87"/>
      <c r="B5" s="316"/>
      <c r="C5" s="316"/>
      <c r="D5" s="316"/>
      <c r="E5" s="88"/>
      <c r="F5" s="94"/>
      <c r="G5" s="298"/>
      <c r="H5" s="94"/>
      <c r="I5" s="112"/>
    </row>
    <row r="6" spans="1:9" ht="20" customHeight="1">
      <c r="A6" s="87" t="s">
        <v>13</v>
      </c>
      <c r="B6" s="316"/>
      <c r="C6" s="316"/>
      <c r="D6" s="316"/>
      <c r="E6" s="88"/>
      <c r="F6" s="94"/>
      <c r="G6" s="298"/>
      <c r="H6" s="94"/>
      <c r="I6" s="112"/>
    </row>
    <row r="7" spans="1:9" ht="20" customHeight="1">
      <c r="A7" s="87"/>
      <c r="B7" s="316"/>
      <c r="C7" s="316"/>
      <c r="D7" s="316"/>
      <c r="E7" s="88"/>
      <c r="F7" s="94"/>
      <c r="G7" s="298"/>
      <c r="H7" s="94"/>
      <c r="I7" s="112"/>
    </row>
    <row r="8" spans="1:9" ht="20" customHeight="1">
      <c r="A8" s="87" t="s">
        <v>14</v>
      </c>
      <c r="B8" s="317"/>
      <c r="C8" s="316"/>
      <c r="D8" s="316"/>
      <c r="E8" s="88"/>
      <c r="F8" s="94"/>
      <c r="G8" s="298"/>
      <c r="H8" s="94"/>
      <c r="I8" s="112"/>
    </row>
    <row r="9" spans="1:9" ht="20" customHeight="1">
      <c r="A9" s="87"/>
      <c r="B9" s="318" t="s">
        <v>124</v>
      </c>
      <c r="C9" s="316"/>
      <c r="D9" s="316"/>
      <c r="E9" s="94"/>
      <c r="F9" s="94"/>
      <c r="G9" s="298"/>
      <c r="H9" s="94"/>
      <c r="I9" s="111" t="s">
        <v>17</v>
      </c>
    </row>
    <row r="10" spans="1:9" ht="20" customHeight="1">
      <c r="A10" s="87" t="s">
        <v>18</v>
      </c>
      <c r="B10" s="319"/>
      <c r="C10" s="317"/>
      <c r="D10" s="317"/>
      <c r="E10" s="94"/>
      <c r="F10" s="94"/>
      <c r="G10" s="298"/>
      <c r="H10" s="94"/>
      <c r="I10" s="112"/>
    </row>
    <row r="11" spans="1:9" ht="20" customHeight="1">
      <c r="A11" s="87"/>
      <c r="B11" s="223" t="s">
        <v>22</v>
      </c>
      <c r="C11" s="223" t="s">
        <v>22</v>
      </c>
      <c r="D11" s="223" t="s">
        <v>22</v>
      </c>
      <c r="E11" s="94"/>
      <c r="F11" s="94"/>
      <c r="G11" s="298"/>
      <c r="H11" s="94"/>
      <c r="I11" s="113"/>
    </row>
    <row r="12" spans="1:9" ht="20" customHeight="1">
      <c r="A12" s="87" t="s">
        <v>23</v>
      </c>
      <c r="B12" s="223" t="s">
        <v>125</v>
      </c>
      <c r="C12" s="223" t="s">
        <v>125</v>
      </c>
      <c r="D12" s="223" t="s">
        <v>125</v>
      </c>
      <c r="E12" s="94"/>
      <c r="F12" s="94"/>
      <c r="G12" s="299"/>
      <c r="H12" s="94"/>
      <c r="I12" s="112"/>
    </row>
    <row r="13" spans="1:9" ht="20" customHeight="1">
      <c r="A13" s="87"/>
      <c r="B13" s="318" t="s">
        <v>126</v>
      </c>
      <c r="C13" s="318" t="s">
        <v>127</v>
      </c>
      <c r="D13" s="318" t="s">
        <v>128</v>
      </c>
      <c r="E13" s="94"/>
      <c r="F13" s="94"/>
      <c r="G13" s="108" t="s">
        <v>122</v>
      </c>
      <c r="H13" s="94"/>
      <c r="I13" s="112"/>
    </row>
    <row r="14" spans="1:9" ht="20" customHeight="1">
      <c r="A14" s="87" t="s">
        <v>28</v>
      </c>
      <c r="B14" s="320"/>
      <c r="C14" s="320"/>
      <c r="D14" s="320"/>
      <c r="E14" s="94"/>
      <c r="F14" s="94"/>
      <c r="G14" s="295" t="s">
        <v>129</v>
      </c>
      <c r="H14" s="94"/>
      <c r="I14" s="111" t="s">
        <v>29</v>
      </c>
    </row>
    <row r="15" spans="1:9" ht="20" customHeight="1">
      <c r="A15" s="87"/>
      <c r="B15" s="320"/>
      <c r="C15" s="320"/>
      <c r="D15" s="320"/>
      <c r="E15" s="94"/>
      <c r="F15" s="94"/>
      <c r="G15" s="321"/>
      <c r="H15" s="94"/>
      <c r="I15" s="114" t="s">
        <v>114</v>
      </c>
    </row>
    <row r="16" spans="1:9" ht="20" customHeight="1">
      <c r="A16" s="87" t="s">
        <v>31</v>
      </c>
      <c r="B16" s="320"/>
      <c r="C16" s="320"/>
      <c r="D16" s="320"/>
      <c r="E16" s="94"/>
      <c r="F16" s="94"/>
      <c r="G16" s="321"/>
      <c r="H16" s="94"/>
      <c r="I16" s="113" t="s">
        <v>115</v>
      </c>
    </row>
    <row r="17" spans="1:9" ht="20" customHeight="1">
      <c r="A17" s="87"/>
      <c r="B17" s="319"/>
      <c r="C17" s="319"/>
      <c r="D17" s="319"/>
      <c r="E17" s="94"/>
      <c r="F17" s="94"/>
      <c r="G17" s="296"/>
      <c r="H17" s="94"/>
      <c r="I17" s="112"/>
    </row>
    <row r="18" spans="1:9" ht="20" customHeight="1">
      <c r="A18" s="91" t="s">
        <v>34</v>
      </c>
      <c r="B18" s="223" t="s">
        <v>35</v>
      </c>
      <c r="C18" s="223" t="s">
        <v>35</v>
      </c>
      <c r="D18" s="92" t="s">
        <v>130</v>
      </c>
      <c r="E18" s="94"/>
      <c r="F18" s="94"/>
      <c r="G18" s="295" t="s">
        <v>131</v>
      </c>
      <c r="H18" s="94"/>
      <c r="I18" s="112"/>
    </row>
    <row r="19" spans="1:9" ht="20" customHeight="1">
      <c r="A19" s="87"/>
      <c r="B19" s="349" t="s">
        <v>36</v>
      </c>
      <c r="C19" s="325" t="s">
        <v>132</v>
      </c>
      <c r="D19" s="92" t="s">
        <v>133</v>
      </c>
      <c r="E19" s="88"/>
      <c r="F19" s="94"/>
      <c r="G19" s="321"/>
      <c r="H19" s="94"/>
      <c r="I19" s="114"/>
    </row>
    <row r="20" spans="1:9" ht="20" customHeight="1">
      <c r="A20" s="87" t="s">
        <v>37</v>
      </c>
      <c r="B20" s="350"/>
      <c r="C20" s="326"/>
      <c r="D20" s="318" t="s">
        <v>134</v>
      </c>
      <c r="E20" s="88"/>
      <c r="F20" s="94"/>
      <c r="G20" s="296"/>
      <c r="H20" s="94"/>
      <c r="I20" s="114"/>
    </row>
    <row r="21" spans="1:9" ht="20" customHeight="1">
      <c r="A21" s="87"/>
      <c r="B21" s="351"/>
      <c r="C21" s="327"/>
      <c r="D21" s="320"/>
      <c r="E21" s="93"/>
      <c r="F21" s="94"/>
      <c r="G21" s="225" t="s">
        <v>91</v>
      </c>
      <c r="H21" s="94"/>
      <c r="I21" s="112"/>
    </row>
    <row r="22" spans="1:9" ht="20" customHeight="1">
      <c r="A22" s="87" t="s">
        <v>40</v>
      </c>
      <c r="B22" s="318" t="s">
        <v>135</v>
      </c>
      <c r="C22" s="105" t="s">
        <v>39</v>
      </c>
      <c r="D22" s="319"/>
      <c r="E22" s="94"/>
      <c r="F22" s="94"/>
      <c r="G22" s="295" t="s">
        <v>136</v>
      </c>
      <c r="H22" s="94"/>
      <c r="I22" s="111" t="s">
        <v>42</v>
      </c>
    </row>
    <row r="23" spans="1:9" ht="20" customHeight="1">
      <c r="A23" s="87"/>
      <c r="B23" s="320"/>
      <c r="C23" s="340" t="s">
        <v>137</v>
      </c>
      <c r="D23" s="295" t="s">
        <v>138</v>
      </c>
      <c r="E23" s="94"/>
      <c r="F23" s="94"/>
      <c r="G23" s="321"/>
      <c r="H23" s="94"/>
      <c r="I23" s="112"/>
    </row>
    <row r="24" spans="1:9" ht="20" customHeight="1">
      <c r="A24" s="87" t="s">
        <v>44</v>
      </c>
      <c r="B24" s="320"/>
      <c r="C24" s="341"/>
      <c r="D24" s="321"/>
      <c r="E24" s="94"/>
      <c r="F24" s="94"/>
      <c r="G24" s="321"/>
      <c r="H24" s="94"/>
      <c r="I24" s="112"/>
    </row>
    <row r="25" spans="1:9" ht="20" customHeight="1">
      <c r="A25" s="87"/>
      <c r="B25" s="320"/>
      <c r="C25" s="341"/>
      <c r="D25" s="321"/>
      <c r="E25" s="94"/>
      <c r="F25" s="94"/>
      <c r="G25" s="296"/>
      <c r="H25" s="94"/>
      <c r="I25" s="112"/>
    </row>
    <row r="26" spans="1:9" ht="20" customHeight="1">
      <c r="A26" s="87" t="s">
        <v>45</v>
      </c>
      <c r="B26" s="320"/>
      <c r="C26" s="341"/>
      <c r="D26" s="321"/>
      <c r="E26" s="94"/>
      <c r="F26" s="94"/>
      <c r="G26" s="225" t="s">
        <v>139</v>
      </c>
      <c r="H26" s="94"/>
      <c r="I26" s="114"/>
    </row>
    <row r="27" spans="1:9" ht="20" customHeight="1">
      <c r="A27" s="87"/>
      <c r="B27" s="320"/>
      <c r="C27" s="341"/>
      <c r="D27" s="321"/>
      <c r="E27" s="94"/>
      <c r="F27" s="94"/>
      <c r="G27" s="295" t="s">
        <v>140</v>
      </c>
      <c r="H27" s="94"/>
      <c r="I27" s="112"/>
    </row>
    <row r="28" spans="1:9" ht="20" customHeight="1">
      <c r="A28" s="87" t="s">
        <v>46</v>
      </c>
      <c r="B28" s="320"/>
      <c r="C28" s="341"/>
      <c r="D28" s="321"/>
      <c r="E28" s="94"/>
      <c r="F28" s="94"/>
      <c r="G28" s="321"/>
      <c r="H28" s="94"/>
      <c r="I28" s="112"/>
    </row>
    <row r="29" spans="1:9" ht="20" customHeight="1">
      <c r="A29" s="87"/>
      <c r="B29" s="319"/>
      <c r="C29" s="342"/>
      <c r="D29" s="296"/>
      <c r="E29" s="94"/>
      <c r="F29" s="94"/>
      <c r="G29" s="321"/>
      <c r="H29" s="94"/>
      <c r="I29" s="112"/>
    </row>
    <row r="30" spans="1:9" ht="20" customHeight="1">
      <c r="A30" s="87" t="s">
        <v>47</v>
      </c>
      <c r="B30" s="223" t="s">
        <v>48</v>
      </c>
      <c r="C30" s="325" t="s">
        <v>61</v>
      </c>
      <c r="D30" s="224" t="s">
        <v>48</v>
      </c>
      <c r="E30" s="94"/>
      <c r="F30" s="94"/>
      <c r="G30" s="321"/>
      <c r="H30" s="94"/>
      <c r="I30" s="115"/>
    </row>
    <row r="31" spans="1:9" ht="20" customHeight="1">
      <c r="A31" s="91"/>
      <c r="B31" s="325" t="s">
        <v>61</v>
      </c>
      <c r="C31" s="326"/>
      <c r="D31" s="295" t="s">
        <v>141</v>
      </c>
      <c r="E31" s="94"/>
      <c r="F31" s="94"/>
      <c r="G31" s="321"/>
      <c r="H31" s="94"/>
      <c r="I31" s="115"/>
    </row>
    <row r="32" spans="1:9" ht="20" customHeight="1">
      <c r="A32" s="87" t="s">
        <v>50</v>
      </c>
      <c r="B32" s="326"/>
      <c r="C32" s="327"/>
      <c r="D32" s="296"/>
      <c r="E32" s="94"/>
      <c r="F32" s="94"/>
      <c r="G32" s="321"/>
      <c r="H32" s="94"/>
      <c r="I32" s="115"/>
    </row>
    <row r="33" spans="1:9" ht="20" customHeight="1">
      <c r="A33" s="87"/>
      <c r="B33" s="326"/>
      <c r="C33" s="325" t="s">
        <v>142</v>
      </c>
      <c r="D33" s="225" t="s">
        <v>143</v>
      </c>
      <c r="E33" s="94"/>
      <c r="F33" s="94"/>
      <c r="G33" s="321"/>
      <c r="H33" s="94"/>
      <c r="I33" s="115"/>
    </row>
    <row r="34" spans="1:9" ht="20" customHeight="1">
      <c r="A34" s="87" t="s">
        <v>53</v>
      </c>
      <c r="B34" s="326"/>
      <c r="C34" s="326"/>
      <c r="D34" s="226"/>
      <c r="E34" s="94"/>
      <c r="F34" s="94"/>
      <c r="G34" s="296"/>
      <c r="H34" s="94"/>
      <c r="I34" s="115"/>
    </row>
    <row r="35" spans="1:9" ht="20" customHeight="1">
      <c r="A35" s="87"/>
      <c r="B35" s="327"/>
      <c r="C35" s="327"/>
      <c r="D35" s="94"/>
      <c r="E35" s="94"/>
      <c r="F35" s="94"/>
      <c r="G35" s="108" t="s">
        <v>144</v>
      </c>
      <c r="H35" s="94"/>
      <c r="I35" s="111" t="s">
        <v>54</v>
      </c>
    </row>
    <row r="36" spans="1:9" ht="20" customHeight="1">
      <c r="A36" s="87" t="s">
        <v>55</v>
      </c>
      <c r="B36" s="340" t="s">
        <v>19</v>
      </c>
      <c r="C36" s="223" t="s">
        <v>145</v>
      </c>
      <c r="D36" s="94"/>
      <c r="E36" s="94"/>
      <c r="F36" s="94"/>
      <c r="G36" s="353" t="s">
        <v>146</v>
      </c>
      <c r="H36" s="94"/>
      <c r="I36" s="113"/>
    </row>
    <row r="37" spans="1:9" ht="20" customHeight="1">
      <c r="A37" s="87"/>
      <c r="B37" s="342"/>
      <c r="C37" s="318" t="s">
        <v>147</v>
      </c>
      <c r="D37" s="94"/>
      <c r="E37" s="94"/>
      <c r="F37" s="94"/>
      <c r="G37" s="354"/>
      <c r="H37" s="94"/>
      <c r="I37" s="112"/>
    </row>
    <row r="38" spans="1:9" ht="20" customHeight="1">
      <c r="A38" s="87" t="s">
        <v>56</v>
      </c>
      <c r="B38" s="334" t="s">
        <v>148</v>
      </c>
      <c r="C38" s="320"/>
      <c r="D38" s="94"/>
      <c r="E38" s="94"/>
      <c r="F38" s="94"/>
      <c r="G38" s="355"/>
      <c r="H38" s="94"/>
      <c r="I38" s="114"/>
    </row>
    <row r="39" spans="1:9" ht="20" customHeight="1">
      <c r="A39" s="87"/>
      <c r="B39" s="334"/>
      <c r="C39" s="319"/>
      <c r="D39" s="94"/>
      <c r="E39" s="94"/>
      <c r="F39" s="94"/>
      <c r="G39" s="94"/>
      <c r="H39" s="94"/>
      <c r="I39" s="111"/>
    </row>
    <row r="40" spans="1:9" ht="20" customHeight="1">
      <c r="A40" s="87" t="s">
        <v>60</v>
      </c>
      <c r="B40" s="228" t="s">
        <v>122</v>
      </c>
      <c r="C40" s="229" t="s">
        <v>149</v>
      </c>
      <c r="D40" s="94"/>
      <c r="E40" s="94"/>
      <c r="F40" s="94"/>
      <c r="G40" s="94"/>
      <c r="H40" s="94"/>
      <c r="I40" s="113"/>
    </row>
    <row r="41" spans="1:9" ht="20" customHeight="1">
      <c r="A41" s="87"/>
      <c r="B41" s="223" t="s">
        <v>150</v>
      </c>
      <c r="C41" s="223" t="s">
        <v>150</v>
      </c>
      <c r="D41" s="94"/>
      <c r="E41" s="94"/>
      <c r="F41" s="94"/>
      <c r="G41" s="94"/>
      <c r="H41" s="94"/>
      <c r="I41" s="114"/>
    </row>
    <row r="42" spans="1:9" ht="20" customHeight="1">
      <c r="A42" s="87" t="s">
        <v>62</v>
      </c>
      <c r="B42" s="315" t="s">
        <v>9</v>
      </c>
      <c r="C42" s="315" t="s">
        <v>9</v>
      </c>
      <c r="D42" s="94"/>
      <c r="E42" s="94"/>
      <c r="F42" s="94"/>
      <c r="G42" s="94"/>
      <c r="H42" s="94"/>
      <c r="I42" s="114"/>
    </row>
    <row r="43" spans="1:9" ht="20" customHeight="1">
      <c r="A43" s="87"/>
      <c r="B43" s="316"/>
      <c r="C43" s="316"/>
      <c r="D43" s="94"/>
      <c r="E43" s="94"/>
      <c r="F43" s="94"/>
      <c r="G43" s="94"/>
      <c r="H43" s="94"/>
      <c r="I43" s="112"/>
    </row>
    <row r="44" spans="1:9" ht="20" customHeight="1">
      <c r="A44" s="87" t="s">
        <v>63</v>
      </c>
      <c r="B44" s="316"/>
      <c r="C44" s="316"/>
      <c r="D44" s="94"/>
      <c r="E44" s="94"/>
      <c r="F44" s="94"/>
      <c r="G44" s="94"/>
      <c r="H44" s="94"/>
      <c r="I44" s="112"/>
    </row>
    <row r="45" spans="1:9" ht="20" customHeight="1">
      <c r="A45" s="87"/>
      <c r="B45" s="316"/>
      <c r="C45" s="316"/>
      <c r="D45" s="94"/>
      <c r="E45" s="94"/>
      <c r="F45" s="94"/>
      <c r="G45" s="94"/>
      <c r="H45" s="94"/>
      <c r="I45" s="112"/>
    </row>
    <row r="46" spans="1:9" ht="20" customHeight="1">
      <c r="A46" s="87" t="s">
        <v>64</v>
      </c>
      <c r="B46" s="316"/>
      <c r="C46" s="316"/>
      <c r="D46" s="94"/>
      <c r="E46" s="94"/>
      <c r="F46" s="94"/>
      <c r="G46" s="94"/>
      <c r="H46" s="94"/>
      <c r="I46" s="111" t="s">
        <v>65</v>
      </c>
    </row>
    <row r="47" spans="1:9" ht="20" customHeight="1">
      <c r="A47" s="87"/>
      <c r="B47" s="316"/>
      <c r="C47" s="316"/>
      <c r="D47" s="94"/>
      <c r="E47" s="94"/>
      <c r="F47" s="94"/>
      <c r="G47" s="94"/>
      <c r="H47" s="94"/>
      <c r="I47" s="116"/>
    </row>
    <row r="48" spans="1:9" ht="20" customHeight="1">
      <c r="A48" s="87" t="s">
        <v>66</v>
      </c>
      <c r="B48" s="316"/>
      <c r="C48" s="316"/>
      <c r="D48" s="94"/>
      <c r="E48" s="94"/>
      <c r="F48" s="94"/>
      <c r="G48" s="94"/>
      <c r="H48" s="94"/>
      <c r="I48" s="114"/>
    </row>
    <row r="49" spans="1:9" ht="20" customHeight="1">
      <c r="A49" s="87"/>
      <c r="B49" s="316"/>
      <c r="C49" s="316"/>
      <c r="D49" s="94"/>
      <c r="E49" s="94"/>
      <c r="F49" s="94"/>
      <c r="G49" s="94"/>
      <c r="H49" s="94"/>
      <c r="I49" s="114"/>
    </row>
    <row r="50" spans="1:9" ht="20" customHeight="1">
      <c r="A50" s="87" t="s">
        <v>67</v>
      </c>
      <c r="B50" s="317"/>
      <c r="C50" s="317"/>
      <c r="D50" s="94"/>
      <c r="E50" s="94"/>
      <c r="F50" s="94"/>
      <c r="G50" s="94"/>
      <c r="H50" s="94"/>
      <c r="I50" s="112"/>
    </row>
    <row r="51" spans="1:9" ht="20" customHeight="1">
      <c r="A51" s="97" t="s">
        <v>68</v>
      </c>
      <c r="B51" s="98">
        <f t="shared" ref="B51:H55" si="0">GetColorCount(B$2:B$50,$A51)*0.5</f>
        <v>6</v>
      </c>
      <c r="C51" s="98">
        <f t="shared" si="0"/>
        <v>7.5</v>
      </c>
      <c r="D51" s="98">
        <f t="shared" si="0"/>
        <v>1.5</v>
      </c>
      <c r="E51" s="98">
        <f t="shared" si="0"/>
        <v>0</v>
      </c>
      <c r="F51" s="98">
        <f t="shared" si="0"/>
        <v>0</v>
      </c>
      <c r="G51" s="98">
        <f t="shared" si="0"/>
        <v>1</v>
      </c>
      <c r="H51" s="98">
        <f t="shared" si="0"/>
        <v>0</v>
      </c>
      <c r="I51" s="117" t="s">
        <v>123</v>
      </c>
    </row>
    <row r="52" spans="1:9" ht="20" customHeight="1">
      <c r="A52" s="99" t="s">
        <v>9</v>
      </c>
      <c r="B52" s="98">
        <f t="shared" si="0"/>
        <v>8</v>
      </c>
      <c r="C52" s="98">
        <f t="shared" si="0"/>
        <v>9</v>
      </c>
      <c r="D52" s="98">
        <f t="shared" si="0"/>
        <v>4</v>
      </c>
      <c r="E52" s="98">
        <f t="shared" si="0"/>
        <v>0</v>
      </c>
      <c r="F52" s="98">
        <f t="shared" si="0"/>
        <v>0</v>
      </c>
      <c r="G52" s="98">
        <f t="shared" si="0"/>
        <v>5</v>
      </c>
      <c r="H52" s="98">
        <f t="shared" si="0"/>
        <v>0</v>
      </c>
      <c r="I52" s="118"/>
    </row>
    <row r="53" spans="1:9" ht="20" customHeight="1">
      <c r="A53" s="100" t="s">
        <v>71</v>
      </c>
      <c r="B53" s="98">
        <f t="shared" si="0"/>
        <v>8.5</v>
      </c>
      <c r="C53" s="98">
        <f t="shared" si="0"/>
        <v>7.5</v>
      </c>
      <c r="D53" s="98">
        <f t="shared" si="0"/>
        <v>10</v>
      </c>
      <c r="E53" s="98">
        <f t="shared" si="0"/>
        <v>0</v>
      </c>
      <c r="F53" s="98">
        <f t="shared" si="0"/>
        <v>0</v>
      </c>
      <c r="G53" s="98">
        <f t="shared" si="0"/>
        <v>10.5</v>
      </c>
      <c r="H53" s="98">
        <f t="shared" si="0"/>
        <v>0</v>
      </c>
      <c r="I53" s="110"/>
    </row>
    <row r="54" spans="1:9" ht="20" customHeight="1">
      <c r="A54" s="101" t="s">
        <v>72</v>
      </c>
      <c r="B54" s="98">
        <f t="shared" si="0"/>
        <v>1.5</v>
      </c>
      <c r="C54" s="98">
        <f t="shared" si="0"/>
        <v>0</v>
      </c>
      <c r="D54" s="98">
        <f t="shared" si="0"/>
        <v>0</v>
      </c>
      <c r="E54" s="98">
        <f t="shared" si="0"/>
        <v>0</v>
      </c>
      <c r="F54" s="98">
        <f t="shared" si="0"/>
        <v>0</v>
      </c>
      <c r="G54" s="98">
        <f t="shared" si="0"/>
        <v>0</v>
      </c>
      <c r="H54" s="98">
        <f t="shared" si="0"/>
        <v>0</v>
      </c>
      <c r="I54" s="119"/>
    </row>
    <row r="55" spans="1:9" ht="20" customHeight="1">
      <c r="A55" s="102" t="s">
        <v>73</v>
      </c>
      <c r="B55" s="98">
        <f t="shared" si="0"/>
        <v>0</v>
      </c>
      <c r="C55" s="98">
        <f t="shared" si="0"/>
        <v>0</v>
      </c>
      <c r="D55" s="98">
        <f t="shared" si="0"/>
        <v>0.5</v>
      </c>
      <c r="E55" s="98">
        <f t="shared" si="0"/>
        <v>0</v>
      </c>
      <c r="F55" s="98">
        <f t="shared" si="0"/>
        <v>0</v>
      </c>
      <c r="G55" s="98">
        <f t="shared" si="0"/>
        <v>0</v>
      </c>
      <c r="H55" s="98">
        <f t="shared" si="0"/>
        <v>0</v>
      </c>
      <c r="I55" s="119"/>
    </row>
    <row r="56" spans="1:9" s="82" customFormat="1" ht="20" customHeight="1">
      <c r="A56" s="103" t="s">
        <v>74</v>
      </c>
      <c r="B56" s="104">
        <f>SUM(B51:B55)</f>
        <v>24</v>
      </c>
      <c r="C56" s="230">
        <f>SUM(C51:C55)</f>
        <v>24</v>
      </c>
      <c r="D56" s="230">
        <f t="shared" ref="D56:H56" si="1">SUM(D51:D55)</f>
        <v>16</v>
      </c>
      <c r="E56" s="230">
        <f t="shared" si="1"/>
        <v>0</v>
      </c>
      <c r="F56" s="230">
        <f t="shared" si="1"/>
        <v>0</v>
      </c>
      <c r="G56" s="230">
        <f t="shared" si="1"/>
        <v>16.5</v>
      </c>
      <c r="H56" s="230">
        <f t="shared" si="1"/>
        <v>0</v>
      </c>
      <c r="I56" s="120"/>
    </row>
    <row r="57" spans="1:9" ht="20" customHeight="1">
      <c r="A57" s="311" t="s">
        <v>68</v>
      </c>
      <c r="B57" s="312" t="s">
        <v>9</v>
      </c>
      <c r="C57" s="300" t="s">
        <v>75</v>
      </c>
      <c r="D57" s="307" t="s">
        <v>76</v>
      </c>
      <c r="E57" s="313" t="s">
        <v>77</v>
      </c>
      <c r="F57" s="352" t="s">
        <v>78</v>
      </c>
      <c r="G57" s="109"/>
      <c r="H57" s="109"/>
      <c r="I57" s="117" t="s">
        <v>108</v>
      </c>
    </row>
    <row r="58" spans="1:9" s="81" customFormat="1" ht="20" customHeight="1">
      <c r="A58" s="311"/>
      <c r="B58" s="312"/>
      <c r="C58" s="300"/>
      <c r="D58" s="308"/>
      <c r="E58" s="313"/>
      <c r="F58" s="352"/>
      <c r="G58" s="109"/>
      <c r="H58" s="109"/>
      <c r="I58" s="121" t="s">
        <v>151</v>
      </c>
    </row>
    <row r="59" spans="1:9" s="81" customFormat="1" ht="20" customHeight="1">
      <c r="A59" s="311"/>
      <c r="B59" s="312"/>
      <c r="C59" s="300"/>
      <c r="D59" s="308"/>
      <c r="E59" s="313"/>
      <c r="F59" s="352"/>
      <c r="G59" s="109"/>
      <c r="H59" s="109"/>
      <c r="I59" s="95" t="s">
        <v>152</v>
      </c>
    </row>
    <row r="60" spans="1:9" s="81" customFormat="1" ht="20" customHeight="1">
      <c r="A60" s="106">
        <f>SUM(B51:H51)</f>
        <v>16</v>
      </c>
      <c r="B60" s="106">
        <f>SUM(B52:H52)</f>
        <v>26</v>
      </c>
      <c r="C60" s="106">
        <f>SUM(B53:H53)</f>
        <v>36.5</v>
      </c>
      <c r="D60" s="106">
        <f>SUM(B54:H54)</f>
        <v>1.5</v>
      </c>
      <c r="E60" s="106">
        <f>SUM(B55:H55)</f>
        <v>0.5</v>
      </c>
      <c r="F60" s="106">
        <f>SUM(B56:H56)</f>
        <v>80.5</v>
      </c>
      <c r="G60" s="83"/>
      <c r="H60" s="83"/>
      <c r="I60" s="95" t="s">
        <v>153</v>
      </c>
    </row>
    <row r="61" spans="1:9" ht="20" customHeight="1">
      <c r="A61" s="107">
        <f>A60/7</f>
        <v>2.2857142857142856</v>
      </c>
      <c r="B61" s="107">
        <f>B60/7</f>
        <v>3.7142857142857144</v>
      </c>
      <c r="C61" s="107">
        <f>C60/7</f>
        <v>5.2142857142857144</v>
      </c>
      <c r="D61" s="107">
        <f>D60/7</f>
        <v>0.21428571428571427</v>
      </c>
      <c r="E61" s="106">
        <f>E60/7</f>
        <v>7.1428571428571425E-2</v>
      </c>
      <c r="F61" s="107"/>
      <c r="I61" s="122" t="s">
        <v>154</v>
      </c>
    </row>
    <row r="62" spans="1:9" ht="20" customHeight="1">
      <c r="A62" s="231"/>
      <c r="B62" s="232"/>
      <c r="C62" s="231"/>
      <c r="D62" s="231"/>
      <c r="E62" s="231"/>
      <c r="F62" s="231"/>
      <c r="I62" s="122" t="s">
        <v>155</v>
      </c>
    </row>
    <row r="63" spans="1:9" ht="20" customHeight="1">
      <c r="I63" s="110" t="s">
        <v>156</v>
      </c>
    </row>
    <row r="64" spans="1:9" ht="20" customHeight="1">
      <c r="I64" s="95" t="s">
        <v>157</v>
      </c>
    </row>
    <row r="65" spans="8:14" ht="20" customHeight="1">
      <c r="I65" s="95" t="s">
        <v>158</v>
      </c>
      <c r="J65" s="233"/>
      <c r="K65" s="233"/>
      <c r="L65" s="233"/>
      <c r="M65" s="233"/>
    </row>
    <row r="66" spans="8:14" ht="20" customHeight="1">
      <c r="I66" s="110" t="s">
        <v>159</v>
      </c>
      <c r="J66" s="234"/>
      <c r="K66" s="234"/>
      <c r="L66" s="234"/>
      <c r="M66" s="234"/>
    </row>
    <row r="67" spans="8:14" ht="20" customHeight="1">
      <c r="I67" s="110" t="s">
        <v>160</v>
      </c>
      <c r="J67" s="81"/>
      <c r="K67" s="81"/>
      <c r="L67" s="81"/>
      <c r="M67" s="81"/>
      <c r="N67" s="81"/>
    </row>
    <row r="68" spans="8:14" ht="20" customHeight="1">
      <c r="I68" s="110" t="s">
        <v>161</v>
      </c>
      <c r="J68" s="81"/>
      <c r="K68" s="81"/>
      <c r="L68" s="81"/>
      <c r="M68" s="81"/>
      <c r="N68" s="81"/>
    </row>
    <row r="69" spans="8:14" ht="20" customHeight="1">
      <c r="I69" s="110" t="s">
        <v>162</v>
      </c>
    </row>
    <row r="70" spans="8:14" ht="20" customHeight="1">
      <c r="I70" s="95" t="s">
        <v>163</v>
      </c>
    </row>
    <row r="71" spans="8:14" ht="40" customHeight="1">
      <c r="I71" s="95" t="s">
        <v>164</v>
      </c>
    </row>
    <row r="72" spans="8:14" ht="40" customHeight="1">
      <c r="I72" s="95" t="s">
        <v>165</v>
      </c>
    </row>
    <row r="73" spans="8:14" ht="40" customHeight="1">
      <c r="H73" s="123"/>
      <c r="I73" s="235" t="s">
        <v>166</v>
      </c>
      <c r="J73" s="126"/>
      <c r="K73" s="126"/>
      <c r="L73" s="126"/>
      <c r="M73" s="126"/>
    </row>
    <row r="74" spans="8:14" ht="40" customHeight="1">
      <c r="H74" s="124"/>
      <c r="I74" s="235" t="s">
        <v>167</v>
      </c>
      <c r="J74" s="126"/>
      <c r="K74" s="126"/>
      <c r="L74" s="126"/>
      <c r="M74" s="126"/>
      <c r="N74" s="126"/>
    </row>
    <row r="75" spans="8:14" ht="40" customHeight="1">
      <c r="H75" s="123"/>
      <c r="I75" s="235" t="s">
        <v>168</v>
      </c>
      <c r="J75" s="126"/>
      <c r="K75" s="126"/>
      <c r="L75" s="126"/>
      <c r="M75" s="126"/>
    </row>
    <row r="76" spans="8:14" ht="40" customHeight="1">
      <c r="H76" s="123"/>
      <c r="I76" s="235" t="s">
        <v>169</v>
      </c>
      <c r="J76" s="126"/>
      <c r="K76" s="126"/>
      <c r="L76" s="126"/>
      <c r="M76" s="126"/>
      <c r="N76" s="126"/>
    </row>
    <row r="77" spans="8:14" ht="20" customHeight="1">
      <c r="H77" s="123"/>
      <c r="I77" s="310" t="s">
        <v>170</v>
      </c>
      <c r="J77" s="310"/>
      <c r="K77" s="310"/>
      <c r="L77" s="310"/>
      <c r="M77" s="310"/>
      <c r="N77" s="310"/>
    </row>
    <row r="78" spans="8:14" ht="20" customHeight="1">
      <c r="I78" s="236" t="s">
        <v>171</v>
      </c>
      <c r="J78" s="126"/>
      <c r="K78" s="126"/>
      <c r="L78" s="126"/>
      <c r="M78" s="126"/>
      <c r="N78" s="126"/>
    </row>
    <row r="79" spans="8:14" ht="20" customHeight="1">
      <c r="I79" s="80" t="s">
        <v>172</v>
      </c>
    </row>
    <row r="80" spans="8:14" ht="20" customHeight="1">
      <c r="I80" s="80"/>
    </row>
    <row r="81" spans="6:9" ht="20" customHeight="1">
      <c r="F81" s="125"/>
      <c r="I81" s="80"/>
    </row>
    <row r="82" spans="6:9" ht="20" customHeight="1">
      <c r="I82" s="80"/>
    </row>
    <row r="83" spans="6:9" ht="20" customHeight="1">
      <c r="I83" s="80"/>
    </row>
    <row r="84" spans="6:9" ht="20" customHeight="1">
      <c r="I84" s="80"/>
    </row>
    <row r="85" spans="6:9" ht="20" customHeight="1">
      <c r="I85" s="80"/>
    </row>
    <row r="86" spans="6:9" ht="20" customHeight="1">
      <c r="I86" s="80"/>
    </row>
    <row r="87" spans="6:9" ht="20" customHeight="1">
      <c r="I87" s="80"/>
    </row>
    <row r="88" spans="6:9" ht="20" customHeight="1">
      <c r="I88" s="80"/>
    </row>
    <row r="89" spans="6:9" ht="20" customHeight="1">
      <c r="I89" s="80"/>
    </row>
    <row r="90" spans="6:9" ht="20" customHeight="1">
      <c r="I90" s="80"/>
    </row>
    <row r="91" spans="6:9" ht="20" customHeight="1">
      <c r="I91" s="80"/>
    </row>
    <row r="92" spans="6:9" ht="20" customHeight="1">
      <c r="I92" s="80"/>
    </row>
    <row r="98" spans="9:9" ht="20" customHeight="1">
      <c r="I98" s="80"/>
    </row>
    <row r="99" spans="9:9" ht="20" customHeight="1">
      <c r="I99" s="80"/>
    </row>
    <row r="100" spans="9:9" ht="20" customHeight="1">
      <c r="I100" s="80"/>
    </row>
    <row r="101" spans="9:9" ht="20" customHeight="1">
      <c r="I101" s="80"/>
    </row>
    <row r="102" spans="9:9" ht="20" customHeight="1">
      <c r="I102" s="80"/>
    </row>
    <row r="103" spans="9:9" ht="20" customHeight="1">
      <c r="I103" s="80"/>
    </row>
    <row r="104" spans="9:9" ht="20" customHeight="1">
      <c r="I104" s="80"/>
    </row>
    <row r="105" spans="9:9" ht="20" customHeight="1">
      <c r="I105" s="80"/>
    </row>
  </sheetData>
  <mergeCells count="35">
    <mergeCell ref="D57:D59"/>
    <mergeCell ref="E57:E59"/>
    <mergeCell ref="F57:F59"/>
    <mergeCell ref="G3:G12"/>
    <mergeCell ref="G14:G17"/>
    <mergeCell ref="G18:G20"/>
    <mergeCell ref="G22:G25"/>
    <mergeCell ref="G27:G34"/>
    <mergeCell ref="G36:G38"/>
    <mergeCell ref="D3:D10"/>
    <mergeCell ref="D13:D17"/>
    <mergeCell ref="D20:D22"/>
    <mergeCell ref="D23:D29"/>
    <mergeCell ref="D31:D32"/>
    <mergeCell ref="C30:C32"/>
    <mergeCell ref="C33:C35"/>
    <mergeCell ref="C37:C39"/>
    <mergeCell ref="C42:C50"/>
    <mergeCell ref="C57:C59"/>
    <mergeCell ref="I77:N77"/>
    <mergeCell ref="A57:A59"/>
    <mergeCell ref="B3:B8"/>
    <mergeCell ref="B9:B10"/>
    <mergeCell ref="B13:B17"/>
    <mergeCell ref="B19:B21"/>
    <mergeCell ref="B22:B29"/>
    <mergeCell ref="B31:B35"/>
    <mergeCell ref="B36:B37"/>
    <mergeCell ref="B38:B39"/>
    <mergeCell ref="B42:B50"/>
    <mergeCell ref="B57:B59"/>
    <mergeCell ref="C3:C10"/>
    <mergeCell ref="C13:C17"/>
    <mergeCell ref="C19:C21"/>
    <mergeCell ref="C23:C29"/>
  </mergeCells>
  <phoneticPr fontId="30" type="noConversion"/>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72"/>
  <sheetViews>
    <sheetView showGridLines="0" zoomScale="81" workbookViewId="0">
      <selection activeCell="E97" sqref="E97"/>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56" t="s">
        <v>173</v>
      </c>
      <c r="B1" s="357"/>
      <c r="C1" s="357"/>
      <c r="D1" s="358"/>
      <c r="E1" s="357"/>
      <c r="G1" s="356" t="s">
        <v>174</v>
      </c>
      <c r="H1" s="357"/>
      <c r="I1" s="357"/>
      <c r="J1" s="358"/>
      <c r="K1" s="357"/>
      <c r="M1" s="356" t="s">
        <v>175</v>
      </c>
      <c r="N1" s="357"/>
      <c r="O1" s="357"/>
      <c r="P1" s="358"/>
      <c r="Q1" s="357"/>
      <c r="Z1" s="68"/>
      <c r="XEZ1" s="77"/>
      <c r="XFA1" s="77"/>
      <c r="XFB1" s="77"/>
      <c r="XFC1" s="77"/>
      <c r="XFD1" s="77"/>
    </row>
    <row r="2" spans="1:16384" s="1" customFormat="1" ht="24" customHeight="1">
      <c r="A2" s="359"/>
      <c r="B2" s="359"/>
      <c r="C2" s="359"/>
      <c r="D2" s="359"/>
      <c r="E2" s="359"/>
      <c r="F2" s="33"/>
      <c r="G2" s="207"/>
      <c r="H2" s="33"/>
      <c r="I2" s="33"/>
      <c r="J2" s="208"/>
      <c r="K2" s="33"/>
      <c r="L2" s="33"/>
      <c r="M2" s="207"/>
      <c r="P2" s="208"/>
      <c r="R2" s="33"/>
      <c r="S2" s="33"/>
      <c r="T2" s="33"/>
      <c r="U2" s="33"/>
      <c r="V2" s="33"/>
      <c r="W2" s="33"/>
      <c r="X2" s="33"/>
      <c r="Y2" s="33"/>
      <c r="Z2" s="68"/>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7"/>
      <c r="XFA2" s="77"/>
      <c r="XFB2" s="77"/>
      <c r="XFC2" s="77"/>
      <c r="XFD2" s="77"/>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8"/>
      <c r="Q3" s="57"/>
      <c r="Z3" s="69"/>
      <c r="XEZ3" s="78"/>
      <c r="XFA3" s="78"/>
    </row>
    <row r="4" spans="1:16384" s="3" customFormat="1" ht="12.75" customHeight="1">
      <c r="A4" s="14">
        <v>1000</v>
      </c>
      <c r="B4" s="14">
        <f>SUM(D7:D50)</f>
        <v>672.8</v>
      </c>
      <c r="C4" s="14">
        <f>A4-B4</f>
        <v>327.20000000000005</v>
      </c>
      <c r="D4" s="14"/>
      <c r="E4" s="14"/>
      <c r="G4" s="14">
        <v>1000</v>
      </c>
      <c r="H4" s="14">
        <f>SUM(J:J)</f>
        <v>878.64999999999986</v>
      </c>
      <c r="I4" s="14">
        <f>G4-H4</f>
        <v>121.35000000000014</v>
      </c>
      <c r="J4" s="14"/>
      <c r="K4" s="14"/>
      <c r="M4" s="14">
        <v>0</v>
      </c>
      <c r="N4" s="14">
        <f>SUM(P7:P31)</f>
        <v>1296.99</v>
      </c>
      <c r="O4" s="14">
        <f>M4-N4</f>
        <v>-1296.99</v>
      </c>
      <c r="P4" s="14"/>
      <c r="Q4" s="30"/>
      <c r="XEZ4" s="79"/>
      <c r="XFA4" s="79"/>
    </row>
    <row r="5" spans="1:16384" s="2" customFormat="1" ht="12.75" customHeight="1">
      <c r="A5" s="363" t="s">
        <v>179</v>
      </c>
      <c r="B5" s="360" t="s">
        <v>180</v>
      </c>
      <c r="C5" s="360"/>
      <c r="D5" s="360"/>
      <c r="E5" s="364" t="s">
        <v>181</v>
      </c>
      <c r="G5" s="363" t="s">
        <v>179</v>
      </c>
      <c r="H5" s="360" t="s">
        <v>180</v>
      </c>
      <c r="I5" s="360"/>
      <c r="J5" s="360"/>
      <c r="K5" s="364" t="s">
        <v>181</v>
      </c>
      <c r="M5" s="363" t="s">
        <v>179</v>
      </c>
      <c r="N5" s="360" t="s">
        <v>180</v>
      </c>
      <c r="O5" s="360"/>
      <c r="P5" s="361"/>
      <c r="Q5" s="366" t="s">
        <v>181</v>
      </c>
      <c r="S5" s="58" t="s">
        <v>182</v>
      </c>
      <c r="T5" s="58" t="s">
        <v>183</v>
      </c>
      <c r="W5" s="370" t="s">
        <v>184</v>
      </c>
      <c r="X5" s="371"/>
      <c r="Y5" s="371"/>
      <c r="Z5" s="372"/>
      <c r="AA5" s="371"/>
      <c r="AB5" s="373"/>
      <c r="XEZ5" s="78"/>
      <c r="XFA5" s="78"/>
    </row>
    <row r="6" spans="1:16384" s="2" customFormat="1" ht="12.75" customHeight="1">
      <c r="A6" s="363"/>
      <c r="B6" s="15" t="s">
        <v>185</v>
      </c>
      <c r="C6" s="15" t="s">
        <v>186</v>
      </c>
      <c r="D6" s="16" t="s">
        <v>187</v>
      </c>
      <c r="E6" s="364"/>
      <c r="G6" s="363"/>
      <c r="H6" s="15" t="s">
        <v>185</v>
      </c>
      <c r="I6" s="15" t="s">
        <v>186</v>
      </c>
      <c r="J6" s="16" t="s">
        <v>187</v>
      </c>
      <c r="K6" s="364"/>
      <c r="M6" s="363"/>
      <c r="N6" s="15" t="s">
        <v>185</v>
      </c>
      <c r="O6" s="15" t="s">
        <v>186</v>
      </c>
      <c r="P6" s="16" t="s">
        <v>187</v>
      </c>
      <c r="Q6" s="366"/>
      <c r="S6" s="29" t="s">
        <v>188</v>
      </c>
      <c r="T6" s="29" t="s">
        <v>189</v>
      </c>
      <c r="W6" s="63">
        <v>1</v>
      </c>
      <c r="X6" s="64" t="s">
        <v>190</v>
      </c>
      <c r="Y6" s="70" t="s">
        <v>191</v>
      </c>
      <c r="Z6" s="71" t="s">
        <v>192</v>
      </c>
      <c r="AA6" s="257" t="s">
        <v>193</v>
      </c>
      <c r="AB6" s="72" t="s">
        <v>181</v>
      </c>
      <c r="XEZ6" s="78"/>
      <c r="XFA6" s="78"/>
    </row>
    <row r="7" spans="1:16384" s="4" customFormat="1" ht="12.75" customHeight="1">
      <c r="A7" s="28"/>
      <c r="B7" s="29"/>
      <c r="C7" s="29"/>
      <c r="D7" s="49">
        <v>-9.23</v>
      </c>
      <c r="E7" s="60"/>
      <c r="G7" s="28">
        <v>44563</v>
      </c>
      <c r="H7" s="29" t="s">
        <v>194</v>
      </c>
      <c r="I7" s="216" t="s">
        <v>195</v>
      </c>
      <c r="J7" s="219">
        <v>220.65</v>
      </c>
      <c r="K7" s="220" t="s">
        <v>196</v>
      </c>
      <c r="M7" s="28">
        <v>44563</v>
      </c>
      <c r="N7" s="29" t="s">
        <v>188</v>
      </c>
      <c r="O7" s="29" t="s">
        <v>195</v>
      </c>
      <c r="P7" s="49">
        <v>66</v>
      </c>
      <c r="Q7" s="29" t="s">
        <v>197</v>
      </c>
      <c r="S7" s="367" t="s">
        <v>194</v>
      </c>
      <c r="T7" s="29" t="s">
        <v>195</v>
      </c>
      <c r="W7" s="29" t="s">
        <v>198</v>
      </c>
      <c r="X7" s="374">
        <f>SUM(Z8:Z22)</f>
        <v>8028.76</v>
      </c>
      <c r="Y7" s="375"/>
      <c r="Z7" s="375"/>
      <c r="AA7" s="375"/>
      <c r="AB7" s="376"/>
    </row>
    <row r="8" spans="1:16384" s="4" customFormat="1" ht="12.75" customHeight="1">
      <c r="A8" s="28">
        <v>44564</v>
      </c>
      <c r="B8" s="29" t="s">
        <v>188</v>
      </c>
      <c r="C8" s="29" t="s">
        <v>189</v>
      </c>
      <c r="D8" s="30">
        <v>7.5</v>
      </c>
      <c r="E8" s="28" t="s">
        <v>199</v>
      </c>
      <c r="G8" s="28">
        <v>44563</v>
      </c>
      <c r="H8" s="29" t="s">
        <v>188</v>
      </c>
      <c r="I8" s="29" t="s">
        <v>195</v>
      </c>
      <c r="J8" s="49">
        <v>71.099999999999994</v>
      </c>
      <c r="K8" s="29" t="s">
        <v>200</v>
      </c>
      <c r="M8" s="28">
        <v>44575</v>
      </c>
      <c r="N8" s="29" t="s">
        <v>201</v>
      </c>
      <c r="O8" s="29" t="s">
        <v>201</v>
      </c>
      <c r="P8" s="49">
        <v>122.99</v>
      </c>
      <c r="Q8" s="29" t="s">
        <v>202</v>
      </c>
      <c r="S8" s="368"/>
      <c r="T8" s="29" t="s">
        <v>203</v>
      </c>
      <c r="W8" s="65">
        <v>2</v>
      </c>
      <c r="X8" s="28">
        <v>44219</v>
      </c>
      <c r="Y8" s="42" t="s">
        <v>204</v>
      </c>
      <c r="Z8" s="73">
        <f>980+50+2</f>
        <v>1032</v>
      </c>
      <c r="AA8" s="42">
        <v>44230</v>
      </c>
      <c r="AB8" s="29" t="s">
        <v>205</v>
      </c>
    </row>
    <row r="9" spans="1:16384" s="4" customFormat="1" ht="12.75" customHeight="1">
      <c r="A9" s="28">
        <v>44566</v>
      </c>
      <c r="B9" s="29" t="s">
        <v>201</v>
      </c>
      <c r="C9" s="29" t="s">
        <v>206</v>
      </c>
      <c r="D9" s="30">
        <v>7.6</v>
      </c>
      <c r="E9" s="42" t="s">
        <v>207</v>
      </c>
      <c r="F9" s="33"/>
      <c r="G9" s="28">
        <v>44564</v>
      </c>
      <c r="H9" s="29" t="s">
        <v>188</v>
      </c>
      <c r="I9" s="29" t="s">
        <v>189</v>
      </c>
      <c r="J9" s="219">
        <v>140</v>
      </c>
      <c r="K9" s="220" t="s">
        <v>208</v>
      </c>
      <c r="M9" s="50">
        <v>44589</v>
      </c>
      <c r="N9" s="29" t="s">
        <v>188</v>
      </c>
      <c r="O9" s="29" t="s">
        <v>189</v>
      </c>
      <c r="P9" s="49">
        <v>8</v>
      </c>
      <c r="Q9" s="29"/>
      <c r="S9" s="367" t="s">
        <v>52</v>
      </c>
      <c r="T9" s="29" t="s">
        <v>206</v>
      </c>
      <c r="W9" s="65">
        <v>3</v>
      </c>
      <c r="X9" s="28">
        <v>44257</v>
      </c>
      <c r="Y9" s="42" t="s">
        <v>209</v>
      </c>
      <c r="Z9" s="73">
        <f>2050+50</f>
        <v>2100</v>
      </c>
      <c r="AA9" s="42"/>
      <c r="AB9" s="29" t="s">
        <v>210</v>
      </c>
    </row>
    <row r="10" spans="1:16384" s="4" customFormat="1" ht="12.75" customHeight="1">
      <c r="A10" s="28">
        <v>44567</v>
      </c>
      <c r="B10" s="29" t="s">
        <v>188</v>
      </c>
      <c r="C10" s="29" t="s">
        <v>189</v>
      </c>
      <c r="D10" s="30">
        <v>15</v>
      </c>
      <c r="E10" s="28"/>
      <c r="F10" s="33"/>
      <c r="G10" s="28">
        <v>44564</v>
      </c>
      <c r="H10" s="29" t="s">
        <v>211</v>
      </c>
      <c r="I10" s="29" t="s">
        <v>211</v>
      </c>
      <c r="J10" s="49">
        <v>1.5</v>
      </c>
      <c r="K10" s="60"/>
      <c r="M10" s="50">
        <v>44591</v>
      </c>
      <c r="N10" s="29" t="s">
        <v>212</v>
      </c>
      <c r="O10" s="29" t="s">
        <v>213</v>
      </c>
      <c r="P10" s="49">
        <v>500</v>
      </c>
      <c r="Q10" s="28" t="s">
        <v>214</v>
      </c>
      <c r="S10" s="369"/>
      <c r="T10" s="29" t="s">
        <v>215</v>
      </c>
      <c r="W10" s="66">
        <v>4</v>
      </c>
      <c r="X10" s="67">
        <v>44276</v>
      </c>
      <c r="Y10" s="74" t="s">
        <v>216</v>
      </c>
      <c r="Z10" s="75">
        <v>548.35</v>
      </c>
      <c r="AA10" s="74">
        <v>44296</v>
      </c>
      <c r="AB10" s="76" t="s">
        <v>217</v>
      </c>
    </row>
    <row r="11" spans="1:16384" s="4" customFormat="1" ht="12.75" customHeight="1">
      <c r="A11" s="28">
        <v>44568</v>
      </c>
      <c r="B11" s="29" t="s">
        <v>211</v>
      </c>
      <c r="C11" s="29" t="s">
        <v>211</v>
      </c>
      <c r="D11" s="209">
        <v>100</v>
      </c>
      <c r="E11" s="42" t="s">
        <v>218</v>
      </c>
      <c r="F11" s="365"/>
      <c r="G11" s="28">
        <v>44564</v>
      </c>
      <c r="H11" s="29" t="s">
        <v>188</v>
      </c>
      <c r="I11" s="29" t="s">
        <v>195</v>
      </c>
      <c r="J11" s="49">
        <v>48.7</v>
      </c>
      <c r="K11" s="60" t="s">
        <v>219</v>
      </c>
      <c r="M11" s="50">
        <v>44592</v>
      </c>
      <c r="N11" s="29" t="s">
        <v>212</v>
      </c>
      <c r="O11" s="29" t="s">
        <v>213</v>
      </c>
      <c r="P11" s="51">
        <v>600</v>
      </c>
      <c r="Q11" s="60" t="s">
        <v>220</v>
      </c>
      <c r="S11" s="369"/>
      <c r="T11" s="29" t="s">
        <v>221</v>
      </c>
      <c r="W11" s="66">
        <v>5</v>
      </c>
      <c r="X11" s="67">
        <v>44324</v>
      </c>
      <c r="Y11" s="74" t="s">
        <v>216</v>
      </c>
      <c r="Z11" s="75">
        <v>463.01</v>
      </c>
      <c r="AA11" s="74"/>
      <c r="AB11" s="76" t="s">
        <v>217</v>
      </c>
    </row>
    <row r="12" spans="1:16384" s="4" customFormat="1" ht="12.75" customHeight="1">
      <c r="A12" s="28">
        <v>44568</v>
      </c>
      <c r="B12" s="29" t="s">
        <v>212</v>
      </c>
      <c r="C12" s="29" t="s">
        <v>222</v>
      </c>
      <c r="D12" s="210">
        <v>198</v>
      </c>
      <c r="E12" s="216" t="s">
        <v>223</v>
      </c>
      <c r="F12" s="365"/>
      <c r="G12" s="28">
        <v>44565</v>
      </c>
      <c r="H12" s="29" t="s">
        <v>188</v>
      </c>
      <c r="I12" s="29" t="s">
        <v>189</v>
      </c>
      <c r="J12" s="221">
        <v>57.7</v>
      </c>
      <c r="K12" s="28"/>
      <c r="M12" s="28"/>
      <c r="N12" s="29"/>
      <c r="O12" s="29"/>
      <c r="P12" s="52"/>
      <c r="Q12" s="29"/>
      <c r="S12" s="368"/>
      <c r="T12" s="29" t="s">
        <v>224</v>
      </c>
      <c r="W12" s="66">
        <v>6</v>
      </c>
      <c r="X12" s="67">
        <v>44453</v>
      </c>
      <c r="Y12" s="74" t="s">
        <v>225</v>
      </c>
      <c r="Z12" s="75">
        <v>3825</v>
      </c>
      <c r="AA12" s="74">
        <v>44482</v>
      </c>
      <c r="AB12" s="76"/>
    </row>
    <row r="13" spans="1:16384" s="4" customFormat="1" ht="12.75" customHeight="1">
      <c r="A13" s="211"/>
      <c r="B13" s="212"/>
      <c r="C13" s="212"/>
      <c r="D13" s="213"/>
      <c r="E13" s="212"/>
      <c r="F13" s="365"/>
      <c r="G13" s="28">
        <v>44566</v>
      </c>
      <c r="H13" s="29" t="s">
        <v>212</v>
      </c>
      <c r="I13" s="29" t="s">
        <v>222</v>
      </c>
      <c r="J13" s="209">
        <v>72</v>
      </c>
      <c r="K13" s="29" t="s">
        <v>226</v>
      </c>
      <c r="M13" s="28"/>
      <c r="N13" s="29"/>
      <c r="O13" s="29"/>
      <c r="P13" s="49"/>
      <c r="Q13" s="29"/>
      <c r="S13" s="367" t="s">
        <v>227</v>
      </c>
      <c r="T13" s="29" t="s">
        <v>228</v>
      </c>
      <c r="W13" s="29">
        <v>7</v>
      </c>
      <c r="X13" s="42">
        <v>44482</v>
      </c>
      <c r="Y13" s="29" t="s">
        <v>229</v>
      </c>
      <c r="Z13" s="73">
        <v>26.8</v>
      </c>
      <c r="AA13" s="29"/>
      <c r="AB13" s="29"/>
    </row>
    <row r="14" spans="1:16384" s="4" customFormat="1" ht="12.75" customHeight="1">
      <c r="A14" s="28">
        <v>44569</v>
      </c>
      <c r="B14" s="29" t="s">
        <v>188</v>
      </c>
      <c r="C14" s="29" t="s">
        <v>189</v>
      </c>
      <c r="D14" s="30">
        <v>21</v>
      </c>
      <c r="E14" s="29"/>
      <c r="F14" s="365"/>
      <c r="G14" s="28">
        <v>44566</v>
      </c>
      <c r="H14" s="29" t="s">
        <v>211</v>
      </c>
      <c r="I14" s="29" t="s">
        <v>211</v>
      </c>
      <c r="J14" s="49">
        <v>1.5</v>
      </c>
      <c r="K14" s="50"/>
      <c r="M14" s="28"/>
      <c r="N14" s="29"/>
      <c r="O14" s="29"/>
      <c r="P14" s="49"/>
      <c r="Q14" s="29"/>
      <c r="S14" s="368"/>
      <c r="T14" s="29" t="s">
        <v>230</v>
      </c>
      <c r="W14" s="29">
        <v>8</v>
      </c>
      <c r="X14" s="42">
        <v>44513</v>
      </c>
      <c r="Y14" s="29" t="s">
        <v>231</v>
      </c>
      <c r="Z14" s="73">
        <f>20+13.6</f>
        <v>33.6</v>
      </c>
      <c r="AA14" s="29" t="s">
        <v>232</v>
      </c>
      <c r="AB14" s="29"/>
    </row>
    <row r="15" spans="1:16384" s="4" customFormat="1" ht="12.75" customHeight="1">
      <c r="A15" s="28">
        <v>44572</v>
      </c>
      <c r="B15" s="29" t="s">
        <v>211</v>
      </c>
      <c r="C15" s="29" t="s">
        <v>211</v>
      </c>
      <c r="D15" s="210">
        <f>65.48+16+19.7+18.18+16</f>
        <v>135.36000000000001</v>
      </c>
      <c r="E15" s="216" t="s">
        <v>233</v>
      </c>
      <c r="F15" s="365"/>
      <c r="G15" s="28">
        <v>44568</v>
      </c>
      <c r="H15" s="29" t="s">
        <v>188</v>
      </c>
      <c r="I15" s="29" t="s">
        <v>189</v>
      </c>
      <c r="J15" s="210">
        <v>79</v>
      </c>
      <c r="K15" s="216" t="s">
        <v>234</v>
      </c>
      <c r="M15" s="28"/>
      <c r="N15" s="29"/>
      <c r="O15" s="29"/>
      <c r="P15" s="49"/>
      <c r="Q15" s="42"/>
      <c r="S15" s="367" t="s">
        <v>235</v>
      </c>
      <c r="T15" s="29" t="s">
        <v>236</v>
      </c>
      <c r="Z15" s="8"/>
    </row>
    <row r="16" spans="1:16384" s="4" customFormat="1" ht="12.75" customHeight="1">
      <c r="A16" s="28">
        <v>44571</v>
      </c>
      <c r="B16" s="29" t="s">
        <v>227</v>
      </c>
      <c r="C16" s="29" t="s">
        <v>230</v>
      </c>
      <c r="D16" s="30">
        <v>40</v>
      </c>
      <c r="E16" s="29" t="s">
        <v>237</v>
      </c>
      <c r="F16" s="365"/>
      <c r="G16" s="28">
        <v>44568</v>
      </c>
      <c r="H16" s="29" t="s">
        <v>188</v>
      </c>
      <c r="I16" s="29" t="s">
        <v>189</v>
      </c>
      <c r="J16" s="30">
        <v>53.6</v>
      </c>
      <c r="K16" s="28" t="s">
        <v>238</v>
      </c>
      <c r="M16" s="50"/>
      <c r="N16" s="29"/>
      <c r="O16" s="29"/>
      <c r="P16" s="49"/>
      <c r="Q16" s="29"/>
      <c r="S16" s="369"/>
      <c r="T16" s="29" t="s">
        <v>239</v>
      </c>
      <c r="Z16" s="8"/>
    </row>
    <row r="17" spans="1:26" s="4" customFormat="1" ht="12.75" customHeight="1">
      <c r="A17" s="28">
        <v>44571</v>
      </c>
      <c r="B17" s="29" t="s">
        <v>188</v>
      </c>
      <c r="C17" s="29" t="s">
        <v>189</v>
      </c>
      <c r="D17" s="30">
        <v>41</v>
      </c>
      <c r="E17" s="29"/>
      <c r="F17" s="365"/>
      <c r="G17" s="28">
        <v>44568</v>
      </c>
      <c r="H17" s="29" t="s">
        <v>211</v>
      </c>
      <c r="I17" s="29" t="s">
        <v>211</v>
      </c>
      <c r="J17" s="209">
        <v>13.53</v>
      </c>
      <c r="K17" s="42" t="s">
        <v>240</v>
      </c>
      <c r="M17" s="28"/>
      <c r="N17" s="29"/>
      <c r="O17" s="29"/>
      <c r="P17" s="53"/>
      <c r="Q17" s="29"/>
      <c r="S17" s="368"/>
      <c r="T17" s="29" t="s">
        <v>241</v>
      </c>
      <c r="Z17" s="8"/>
    </row>
    <row r="18" spans="1:26" s="4" customFormat="1" ht="12.75" customHeight="1">
      <c r="A18" s="28">
        <v>44571</v>
      </c>
      <c r="B18" s="29" t="s">
        <v>52</v>
      </c>
      <c r="C18" s="29" t="s">
        <v>215</v>
      </c>
      <c r="D18" s="214">
        <v>28</v>
      </c>
      <c r="E18" s="29"/>
      <c r="F18" s="365"/>
      <c r="G18" s="28">
        <v>44568</v>
      </c>
      <c r="H18" s="29" t="s">
        <v>188</v>
      </c>
      <c r="I18" s="29" t="s">
        <v>195</v>
      </c>
      <c r="J18" s="209">
        <v>7.8</v>
      </c>
      <c r="K18" s="29" t="s">
        <v>242</v>
      </c>
      <c r="M18" s="28"/>
      <c r="N18" s="29"/>
      <c r="O18" s="29"/>
      <c r="P18" s="49"/>
      <c r="Q18" s="29"/>
      <c r="S18" s="29" t="s">
        <v>211</v>
      </c>
      <c r="T18" s="29" t="s">
        <v>211</v>
      </c>
      <c r="Z18" s="8"/>
    </row>
    <row r="19" spans="1:26" s="4" customFormat="1" ht="12.75" customHeight="1">
      <c r="A19" s="28">
        <v>44572</v>
      </c>
      <c r="B19" s="29" t="s">
        <v>188</v>
      </c>
      <c r="C19" s="29" t="s">
        <v>189</v>
      </c>
      <c r="D19" s="30">
        <v>104</v>
      </c>
      <c r="E19" s="29"/>
      <c r="F19" s="365"/>
      <c r="G19" s="28">
        <v>44568</v>
      </c>
      <c r="H19" s="29" t="s">
        <v>188</v>
      </c>
      <c r="I19" s="29" t="s">
        <v>195</v>
      </c>
      <c r="J19" s="30">
        <f>15</f>
        <v>15</v>
      </c>
      <c r="K19" s="29" t="s">
        <v>243</v>
      </c>
      <c r="M19" s="28"/>
      <c r="N19" s="29"/>
      <c r="O19" s="29"/>
      <c r="P19" s="49"/>
      <c r="Q19" s="29"/>
      <c r="S19" s="367" t="s">
        <v>212</v>
      </c>
      <c r="T19" s="29" t="s">
        <v>213</v>
      </c>
      <c r="Z19" s="8"/>
    </row>
    <row r="20" spans="1:26" s="4" customFormat="1" ht="12.75" customHeight="1">
      <c r="A20" s="28">
        <v>44572</v>
      </c>
      <c r="B20" s="29" t="s">
        <v>188</v>
      </c>
      <c r="C20" s="29" t="s">
        <v>189</v>
      </c>
      <c r="D20" s="30">
        <v>50.5</v>
      </c>
      <c r="E20" s="29"/>
      <c r="F20" s="365"/>
      <c r="G20" s="217"/>
      <c r="H20" s="212"/>
      <c r="I20" s="212"/>
      <c r="J20" s="213"/>
      <c r="K20" s="212"/>
      <c r="M20" s="28"/>
      <c r="N20" s="29"/>
      <c r="O20" s="29"/>
      <c r="P20" s="49"/>
      <c r="Q20" s="29"/>
      <c r="S20" s="368"/>
      <c r="T20" s="29" t="s">
        <v>222</v>
      </c>
      <c r="Z20" s="8"/>
    </row>
    <row r="21" spans="1:26" s="4" customFormat="1" ht="12.75" customHeight="1">
      <c r="A21" s="5">
        <v>44573</v>
      </c>
      <c r="B21" s="59" t="s">
        <v>194</v>
      </c>
      <c r="C21" s="59" t="s">
        <v>195</v>
      </c>
      <c r="D21" s="215">
        <v>45.69</v>
      </c>
      <c r="E21" s="59" t="s">
        <v>244</v>
      </c>
      <c r="F21" s="365"/>
      <c r="G21" s="28">
        <v>44568</v>
      </c>
      <c r="H21" s="29" t="s">
        <v>211</v>
      </c>
      <c r="I21" s="29" t="s">
        <v>211</v>
      </c>
      <c r="J21" s="49">
        <v>1.5</v>
      </c>
      <c r="K21" s="60"/>
      <c r="M21" s="28"/>
      <c r="N21" s="29"/>
      <c r="O21" s="29"/>
      <c r="P21" s="49"/>
      <c r="Q21" s="29"/>
      <c r="S21" s="29" t="s">
        <v>201</v>
      </c>
      <c r="T21" s="29" t="s">
        <v>201</v>
      </c>
      <c r="Z21" s="8"/>
    </row>
    <row r="22" spans="1:26" s="4" customFormat="1" ht="12.75" customHeight="1">
      <c r="A22" s="29"/>
      <c r="B22" s="29"/>
      <c r="C22" s="29"/>
      <c r="D22" s="29">
        <v>-29</v>
      </c>
      <c r="E22" s="29" t="s">
        <v>245</v>
      </c>
      <c r="F22" s="33"/>
      <c r="G22" s="28">
        <v>44569</v>
      </c>
      <c r="H22" s="29" t="s">
        <v>188</v>
      </c>
      <c r="I22" s="29" t="s">
        <v>189</v>
      </c>
      <c r="J22" s="30">
        <v>7.8</v>
      </c>
      <c r="K22" s="60"/>
      <c r="M22" s="28"/>
      <c r="N22" s="29"/>
      <c r="O22" s="29"/>
      <c r="P22" s="49"/>
      <c r="Q22" s="29"/>
      <c r="Z22" s="8"/>
    </row>
    <row r="23" spans="1:26" s="4" customFormat="1" ht="12.75" customHeight="1">
      <c r="A23" s="211"/>
      <c r="B23" s="212"/>
      <c r="C23" s="212"/>
      <c r="D23" s="213"/>
      <c r="E23" s="212"/>
      <c r="F23" s="365"/>
      <c r="G23" s="28">
        <v>44571</v>
      </c>
      <c r="H23" s="29" t="s">
        <v>188</v>
      </c>
      <c r="I23" s="29" t="s">
        <v>195</v>
      </c>
      <c r="J23" s="49">
        <v>11.5</v>
      </c>
      <c r="K23" s="60"/>
      <c r="M23" s="28"/>
      <c r="N23" s="29"/>
      <c r="O23" s="29"/>
      <c r="P23" s="49"/>
      <c r="Q23" s="29"/>
      <c r="Z23" s="8"/>
    </row>
    <row r="24" spans="1:26" s="4" customFormat="1" ht="12.75" customHeight="1">
      <c r="A24" s="28">
        <v>44574</v>
      </c>
      <c r="B24" s="29" t="s">
        <v>188</v>
      </c>
      <c r="C24" s="29" t="s">
        <v>189</v>
      </c>
      <c r="D24" s="209">
        <v>41.9</v>
      </c>
      <c r="E24" s="42"/>
      <c r="F24" s="365"/>
      <c r="G24" s="28">
        <v>44571</v>
      </c>
      <c r="H24" s="29" t="s">
        <v>188</v>
      </c>
      <c r="I24" s="29" t="s">
        <v>195</v>
      </c>
      <c r="J24" s="30">
        <v>6.3</v>
      </c>
      <c r="K24" s="29"/>
      <c r="M24" s="28"/>
      <c r="N24" s="29"/>
      <c r="O24" s="29"/>
      <c r="Q24" s="29"/>
      <c r="Z24" s="8"/>
    </row>
    <row r="25" spans="1:26" s="4" customFormat="1" ht="12.75" customHeight="1">
      <c r="A25" s="28">
        <v>44574</v>
      </c>
      <c r="B25" s="29" t="s">
        <v>188</v>
      </c>
      <c r="C25" s="29" t="s">
        <v>189</v>
      </c>
      <c r="D25" s="209">
        <v>37</v>
      </c>
      <c r="E25" s="29"/>
      <c r="F25" s="33"/>
      <c r="G25" s="28">
        <v>44571</v>
      </c>
      <c r="H25" s="29" t="s">
        <v>188</v>
      </c>
      <c r="I25" s="29" t="s">
        <v>195</v>
      </c>
      <c r="J25" s="49">
        <v>28</v>
      </c>
      <c r="K25" s="29"/>
      <c r="M25" s="28"/>
      <c r="N25" s="29"/>
      <c r="O25" s="29"/>
      <c r="P25" s="49"/>
      <c r="Q25" s="29"/>
      <c r="Z25" s="8"/>
    </row>
    <row r="26" spans="1:26" s="4" customFormat="1" ht="12.75" customHeight="1">
      <c r="A26" s="28">
        <v>44575</v>
      </c>
      <c r="B26" s="29" t="s">
        <v>188</v>
      </c>
      <c r="C26" s="29" t="s">
        <v>189</v>
      </c>
      <c r="D26" s="209">
        <v>41.75</v>
      </c>
      <c r="E26" s="42"/>
      <c r="F26" s="33"/>
      <c r="G26" s="218">
        <v>44572</v>
      </c>
      <c r="H26" s="216" t="s">
        <v>211</v>
      </c>
      <c r="I26" s="216" t="s">
        <v>211</v>
      </c>
      <c r="J26" s="219">
        <v>155</v>
      </c>
      <c r="K26" s="220" t="s">
        <v>246</v>
      </c>
      <c r="M26" s="54"/>
      <c r="N26" s="29"/>
      <c r="O26" s="29"/>
      <c r="P26" s="49"/>
      <c r="Q26" s="61"/>
      <c r="Z26" s="8"/>
    </row>
    <row r="27" spans="1:26" s="4" customFormat="1" ht="12.75" customHeight="1">
      <c r="A27" s="28"/>
      <c r="B27" s="29"/>
      <c r="C27" s="29"/>
      <c r="D27" s="209">
        <v>-7.22</v>
      </c>
      <c r="E27" s="29"/>
      <c r="G27" s="28">
        <v>44572</v>
      </c>
      <c r="H27" s="29" t="s">
        <v>188</v>
      </c>
      <c r="I27" s="29" t="s">
        <v>189</v>
      </c>
      <c r="J27" s="214">
        <v>2.9</v>
      </c>
      <c r="K27" s="60"/>
      <c r="M27" s="54"/>
      <c r="N27" s="29"/>
      <c r="O27" s="29"/>
      <c r="P27" s="49"/>
      <c r="Q27" s="62"/>
      <c r="Z27" s="8"/>
    </row>
    <row r="28" spans="1:26" s="4" customFormat="1" ht="12.75" customHeight="1">
      <c r="A28" s="28">
        <v>44577</v>
      </c>
      <c r="B28" s="29" t="s">
        <v>188</v>
      </c>
      <c r="C28" s="29" t="s">
        <v>189</v>
      </c>
      <c r="D28" s="209">
        <v>10.220000000000001</v>
      </c>
      <c r="E28" s="29"/>
      <c r="G28" s="28">
        <v>44563</v>
      </c>
      <c r="H28" s="29" t="s">
        <v>188</v>
      </c>
      <c r="I28" s="29" t="s">
        <v>195</v>
      </c>
      <c r="J28" s="49">
        <v>3.8</v>
      </c>
      <c r="K28" s="60"/>
      <c r="M28" s="28"/>
      <c r="N28" s="29"/>
      <c r="O28" s="29"/>
      <c r="P28" s="55"/>
      <c r="Q28" s="29"/>
      <c r="Z28" s="8"/>
    </row>
    <row r="29" spans="1:26" s="4" customFormat="1" ht="12.75" customHeight="1">
      <c r="A29" s="28">
        <v>44578</v>
      </c>
      <c r="B29" s="29" t="s">
        <v>188</v>
      </c>
      <c r="C29" s="29" t="s">
        <v>222</v>
      </c>
      <c r="D29" s="209">
        <v>90</v>
      </c>
      <c r="E29" s="29" t="s">
        <v>247</v>
      </c>
      <c r="G29" s="28"/>
      <c r="H29" s="29"/>
      <c r="I29" s="29"/>
      <c r="J29" s="49">
        <v>-7</v>
      </c>
      <c r="K29" s="60" t="s">
        <v>245</v>
      </c>
      <c r="M29" s="28"/>
      <c r="N29" s="29"/>
      <c r="O29" s="29"/>
      <c r="P29" s="55"/>
      <c r="Q29" s="29"/>
      <c r="Z29" s="8"/>
    </row>
    <row r="30" spans="1:26" s="4" customFormat="1" ht="12.75" customHeight="1">
      <c r="A30" s="28">
        <v>44582</v>
      </c>
      <c r="B30" s="29" t="s">
        <v>188</v>
      </c>
      <c r="C30" s="29" t="s">
        <v>189</v>
      </c>
      <c r="D30" s="209">
        <v>22</v>
      </c>
      <c r="E30" s="29"/>
      <c r="G30" s="28"/>
      <c r="H30" s="29"/>
      <c r="I30" s="29"/>
      <c r="J30" s="49">
        <v>-1500</v>
      </c>
      <c r="K30" s="60" t="s">
        <v>248</v>
      </c>
      <c r="M30" s="28"/>
      <c r="N30" s="29"/>
      <c r="O30" s="29"/>
      <c r="P30" s="55"/>
      <c r="Q30" s="29"/>
      <c r="Z30" s="8"/>
    </row>
    <row r="31" spans="1:26" s="4" customFormat="1" ht="12.75" customHeight="1">
      <c r="A31" s="211"/>
      <c r="B31" s="212"/>
      <c r="C31" s="212"/>
      <c r="D31" s="213"/>
      <c r="E31" s="212"/>
      <c r="G31" s="28">
        <v>44580</v>
      </c>
      <c r="H31" s="29" t="s">
        <v>194</v>
      </c>
      <c r="I31" s="29" t="s">
        <v>203</v>
      </c>
      <c r="J31" s="49">
        <v>79</v>
      </c>
      <c r="K31" s="29" t="s">
        <v>249</v>
      </c>
      <c r="M31" s="28"/>
      <c r="N31" s="29"/>
      <c r="O31" s="29"/>
      <c r="P31" s="55"/>
      <c r="Q31" s="29"/>
      <c r="Z31" s="8"/>
    </row>
    <row r="32" spans="1:26" s="4" customFormat="1" ht="12.75" customHeight="1">
      <c r="A32" s="28"/>
      <c r="B32" s="29"/>
      <c r="C32" s="29"/>
      <c r="D32" s="3">
        <v>-500</v>
      </c>
      <c r="E32" s="42"/>
      <c r="G32" s="28">
        <v>44580</v>
      </c>
      <c r="H32" s="29" t="s">
        <v>194</v>
      </c>
      <c r="I32" s="29" t="s">
        <v>213</v>
      </c>
      <c r="J32" s="49">
        <v>1022.52</v>
      </c>
      <c r="K32" s="29" t="s">
        <v>250</v>
      </c>
      <c r="M32" s="56" t="s">
        <v>251</v>
      </c>
      <c r="N32" s="362">
        <f>SUM(P7:P31)</f>
        <v>1296.99</v>
      </c>
      <c r="O32" s="362"/>
      <c r="P32" s="362"/>
      <c r="Q32" s="362"/>
      <c r="Z32" s="8"/>
    </row>
    <row r="33" spans="1:26" s="4" customFormat="1" ht="12.75" customHeight="1">
      <c r="A33" s="28">
        <v>44587</v>
      </c>
      <c r="B33" s="29" t="s">
        <v>188</v>
      </c>
      <c r="C33" s="29" t="s">
        <v>189</v>
      </c>
      <c r="D33" s="30">
        <f>22+19.5</f>
        <v>41.5</v>
      </c>
      <c r="E33" s="42"/>
      <c r="G33" s="28">
        <v>44580</v>
      </c>
      <c r="H33" s="29" t="s">
        <v>194</v>
      </c>
      <c r="I33" s="29" t="s">
        <v>213</v>
      </c>
      <c r="J33" s="49">
        <v>184.61</v>
      </c>
      <c r="K33" s="29" t="s">
        <v>250</v>
      </c>
      <c r="M33" s="5"/>
      <c r="P33" s="3"/>
      <c r="Z33" s="8"/>
    </row>
    <row r="34" spans="1:26" s="4" customFormat="1" ht="12.75" customHeight="1">
      <c r="A34" s="28">
        <v>44588</v>
      </c>
      <c r="B34" s="29" t="s">
        <v>211</v>
      </c>
      <c r="C34" s="29" t="s">
        <v>211</v>
      </c>
      <c r="D34" s="209">
        <v>100</v>
      </c>
      <c r="E34" s="29" t="s">
        <v>218</v>
      </c>
      <c r="G34" s="28">
        <v>44582</v>
      </c>
      <c r="H34" s="29" t="s">
        <v>212</v>
      </c>
      <c r="I34" s="29" t="s">
        <v>213</v>
      </c>
      <c r="J34" s="49">
        <f>14.79+9.53+8.84+35.49+22.83+28.79+3.78+3.48+14.49+16.78+5.66+24.72+18.9+161.73</f>
        <v>369.81</v>
      </c>
      <c r="K34" s="29" t="s">
        <v>252</v>
      </c>
      <c r="M34" s="5"/>
      <c r="P34" s="3"/>
      <c r="Z34" s="8"/>
    </row>
    <row r="35" spans="1:26" s="4" customFormat="1" ht="12.75" customHeight="1">
      <c r="A35" s="28">
        <v>44588</v>
      </c>
      <c r="B35" s="29" t="s">
        <v>211</v>
      </c>
      <c r="C35" s="29" t="s">
        <v>211</v>
      </c>
      <c r="D35" s="209">
        <f>20+9.8</f>
        <v>29.8</v>
      </c>
      <c r="E35" s="29" t="s">
        <v>253</v>
      </c>
      <c r="G35" s="28">
        <v>44582</v>
      </c>
      <c r="H35" s="29" t="s">
        <v>212</v>
      </c>
      <c r="I35" s="29" t="s">
        <v>213</v>
      </c>
      <c r="J35" s="30">
        <v>246.05</v>
      </c>
      <c r="K35" s="28" t="s">
        <v>254</v>
      </c>
      <c r="M35" s="5"/>
      <c r="P35" s="3"/>
      <c r="Z35" s="8"/>
    </row>
    <row r="36" spans="1:26" s="4" customFormat="1" ht="12.75" customHeight="1">
      <c r="A36" s="28">
        <v>44588</v>
      </c>
      <c r="B36" s="29" t="s">
        <v>188</v>
      </c>
      <c r="C36" s="29" t="s">
        <v>189</v>
      </c>
      <c r="D36" s="209">
        <v>83</v>
      </c>
      <c r="E36" s="29"/>
      <c r="G36" s="28">
        <v>44582</v>
      </c>
      <c r="H36" s="29" t="s">
        <v>194</v>
      </c>
      <c r="I36" s="29" t="s">
        <v>213</v>
      </c>
      <c r="J36" s="30">
        <v>47.67</v>
      </c>
      <c r="K36" s="29" t="s">
        <v>255</v>
      </c>
      <c r="M36" s="5"/>
      <c r="P36" s="3"/>
      <c r="Z36" s="8"/>
    </row>
    <row r="37" spans="1:26" s="4" customFormat="1" ht="12.75" customHeight="1">
      <c r="A37" s="28">
        <v>44588</v>
      </c>
      <c r="B37" s="29" t="s">
        <v>211</v>
      </c>
      <c r="C37" s="29" t="s">
        <v>211</v>
      </c>
      <c r="D37" s="30">
        <v>14.23</v>
      </c>
      <c r="E37" s="42"/>
      <c r="G37" s="28">
        <v>44582</v>
      </c>
      <c r="H37" s="29" t="s">
        <v>194</v>
      </c>
      <c r="I37" s="29" t="s">
        <v>213</v>
      </c>
      <c r="J37" s="49">
        <v>15</v>
      </c>
      <c r="K37" s="29" t="s">
        <v>256</v>
      </c>
      <c r="M37" s="5"/>
      <c r="P37" s="3"/>
      <c r="Z37" s="8"/>
    </row>
    <row r="38" spans="1:26" s="4" customFormat="1" ht="12.75" customHeight="1">
      <c r="A38" s="28">
        <v>44588</v>
      </c>
      <c r="B38" s="29" t="s">
        <v>188</v>
      </c>
      <c r="C38" s="29" t="s">
        <v>189</v>
      </c>
      <c r="D38" s="30">
        <v>289</v>
      </c>
      <c r="E38" s="42" t="s">
        <v>257</v>
      </c>
      <c r="G38" s="50"/>
      <c r="H38" s="29"/>
      <c r="I38" s="29"/>
      <c r="J38" s="49">
        <v>-1000</v>
      </c>
      <c r="K38" s="29"/>
      <c r="M38" s="5"/>
      <c r="P38" s="3"/>
      <c r="Z38" s="8"/>
    </row>
    <row r="39" spans="1:26" s="4" customFormat="1" ht="12.75" customHeight="1">
      <c r="A39" s="28">
        <v>44589</v>
      </c>
      <c r="B39" s="29" t="s">
        <v>188</v>
      </c>
      <c r="C39" s="29" t="s">
        <v>189</v>
      </c>
      <c r="D39" s="30">
        <f>8+12+3+5+6+13.8</f>
        <v>47.8</v>
      </c>
      <c r="E39" s="29" t="s">
        <v>258</v>
      </c>
      <c r="G39" s="50"/>
      <c r="H39" s="29"/>
      <c r="I39" s="29"/>
      <c r="J39" s="49">
        <v>-1200</v>
      </c>
      <c r="K39" s="29"/>
      <c r="M39" s="5"/>
      <c r="P39" s="3"/>
      <c r="Z39" s="8"/>
    </row>
    <row r="40" spans="1:26" s="4" customFormat="1" ht="12.75" customHeight="1">
      <c r="A40" s="28"/>
      <c r="B40" s="29"/>
      <c r="C40" s="29"/>
      <c r="D40" s="30">
        <v>-500</v>
      </c>
      <c r="E40" s="29"/>
      <c r="G40" s="50">
        <v>44581</v>
      </c>
      <c r="H40" s="29" t="s">
        <v>194</v>
      </c>
      <c r="I40" s="29" t="s">
        <v>195</v>
      </c>
      <c r="J40" s="49">
        <v>59.25</v>
      </c>
      <c r="K40" s="29" t="s">
        <v>259</v>
      </c>
      <c r="M40" s="5"/>
      <c r="P40" s="3"/>
      <c r="Z40" s="8"/>
    </row>
    <row r="41" spans="1:26" s="4" customFormat="1" ht="12.75" customHeight="1">
      <c r="A41" s="28">
        <v>44589</v>
      </c>
      <c r="B41" s="29" t="s">
        <v>212</v>
      </c>
      <c r="C41" s="29" t="s">
        <v>213</v>
      </c>
      <c r="D41" s="30">
        <f>34.1+280</f>
        <v>314.10000000000002</v>
      </c>
      <c r="E41" s="28" t="s">
        <v>244</v>
      </c>
      <c r="G41" s="50">
        <v>44582</v>
      </c>
      <c r="H41" s="29" t="s">
        <v>194</v>
      </c>
      <c r="I41" s="29" t="s">
        <v>203</v>
      </c>
      <c r="J41" s="49">
        <f>88*2</f>
        <v>176</v>
      </c>
      <c r="K41" s="29" t="s">
        <v>260</v>
      </c>
      <c r="M41" s="5"/>
      <c r="P41" s="3"/>
      <c r="Z41" s="8"/>
    </row>
    <row r="42" spans="1:26" s="4" customFormat="1" ht="12.75" customHeight="1">
      <c r="A42" s="28">
        <v>44589</v>
      </c>
      <c r="B42" s="29" t="s">
        <v>212</v>
      </c>
      <c r="C42" s="29" t="s">
        <v>213</v>
      </c>
      <c r="D42" s="30">
        <f>11.5+70+6.8+7+45</f>
        <v>140.30000000000001</v>
      </c>
      <c r="E42" s="42" t="s">
        <v>261</v>
      </c>
      <c r="G42" s="50">
        <v>44582</v>
      </c>
      <c r="H42" s="29" t="s">
        <v>212</v>
      </c>
      <c r="I42" s="29" t="s">
        <v>213</v>
      </c>
      <c r="J42" s="49">
        <f>164-39+70.3</f>
        <v>195.3</v>
      </c>
      <c r="K42" s="29" t="s">
        <v>262</v>
      </c>
      <c r="M42" s="5"/>
      <c r="P42" s="3"/>
      <c r="Z42" s="8"/>
    </row>
    <row r="43" spans="1:26" s="4" customFormat="1" ht="12.75" customHeight="1">
      <c r="A43" s="28"/>
      <c r="B43" s="29"/>
      <c r="C43" s="29"/>
      <c r="D43" s="30">
        <v>-500</v>
      </c>
      <c r="E43" s="42"/>
      <c r="G43" s="50">
        <v>44581</v>
      </c>
      <c r="H43" s="29" t="s">
        <v>194</v>
      </c>
      <c r="I43" s="29" t="s">
        <v>213</v>
      </c>
      <c r="J43" s="49">
        <v>37</v>
      </c>
      <c r="K43" s="29" t="s">
        <v>263</v>
      </c>
      <c r="M43" s="5"/>
      <c r="P43" s="3"/>
      <c r="Z43" s="8"/>
    </row>
    <row r="44" spans="1:26" s="4" customFormat="1" ht="12.75" customHeight="1">
      <c r="A44" s="28">
        <v>44592</v>
      </c>
      <c r="B44" s="29" t="s">
        <v>212</v>
      </c>
      <c r="C44" s="29" t="s">
        <v>213</v>
      </c>
      <c r="D44" s="30">
        <f>88+100+100</f>
        <v>288</v>
      </c>
      <c r="E44" s="29" t="s">
        <v>264</v>
      </c>
      <c r="G44" s="50">
        <v>44582</v>
      </c>
      <c r="H44" s="29" t="s">
        <v>188</v>
      </c>
      <c r="I44" s="29" t="s">
        <v>189</v>
      </c>
      <c r="J44" s="49">
        <v>79.58</v>
      </c>
      <c r="K44" s="29" t="s">
        <v>265</v>
      </c>
      <c r="M44" s="5"/>
      <c r="P44" s="3"/>
      <c r="Z44" s="8"/>
    </row>
    <row r="45" spans="1:26" s="4" customFormat="1" ht="12.75" customHeight="1">
      <c r="A45" s="28"/>
      <c r="B45" s="29"/>
      <c r="C45" s="29"/>
      <c r="D45" s="30">
        <v>-166</v>
      </c>
      <c r="E45" s="42" t="s">
        <v>266</v>
      </c>
      <c r="G45" s="50">
        <v>44582</v>
      </c>
      <c r="H45" s="29" t="s">
        <v>188</v>
      </c>
      <c r="I45" s="29" t="s">
        <v>189</v>
      </c>
      <c r="J45" s="49">
        <v>60</v>
      </c>
      <c r="K45" s="29" t="s">
        <v>267</v>
      </c>
      <c r="M45" s="5"/>
      <c r="P45" s="3"/>
      <c r="Z45" s="8"/>
    </row>
    <row r="46" spans="1:26" s="4" customFormat="1" ht="12.75" customHeight="1">
      <c r="A46" s="28"/>
      <c r="B46" s="29"/>
      <c r="C46" s="29"/>
      <c r="D46" s="30"/>
      <c r="E46" s="42"/>
      <c r="G46" s="50">
        <v>44582</v>
      </c>
      <c r="H46" s="29" t="s">
        <v>188</v>
      </c>
      <c r="I46" s="29" t="s">
        <v>189</v>
      </c>
      <c r="J46" s="49">
        <v>46.87</v>
      </c>
      <c r="K46" s="29" t="s">
        <v>268</v>
      </c>
      <c r="M46" s="5"/>
      <c r="P46" s="3"/>
      <c r="Z46" s="8"/>
    </row>
    <row r="47" spans="1:26" s="4" customFormat="1" ht="12.75" customHeight="1">
      <c r="A47" s="28"/>
      <c r="B47" s="29"/>
      <c r="C47" s="29"/>
      <c r="D47" s="30"/>
      <c r="E47" s="42"/>
      <c r="G47" s="50"/>
      <c r="H47" s="29"/>
      <c r="I47" s="29"/>
      <c r="J47" s="49">
        <v>85</v>
      </c>
      <c r="K47" s="29" t="s">
        <v>245</v>
      </c>
      <c r="M47" s="5"/>
      <c r="P47" s="3"/>
      <c r="Z47" s="8"/>
    </row>
    <row r="48" spans="1:26" s="4" customFormat="1" ht="12.75" customHeight="1">
      <c r="A48" s="28"/>
      <c r="B48" s="29"/>
      <c r="C48" s="29"/>
      <c r="D48" s="30"/>
      <c r="E48" s="42"/>
      <c r="G48" s="217"/>
      <c r="H48" s="212"/>
      <c r="I48" s="212"/>
      <c r="J48" s="213">
        <f>234.3+18.76+47.67+79</f>
        <v>379.73</v>
      </c>
      <c r="K48" s="29" t="s">
        <v>245</v>
      </c>
      <c r="M48" s="5"/>
      <c r="P48" s="3"/>
      <c r="Z48" s="8"/>
    </row>
    <row r="49" spans="1:26 16380:16381" s="4" customFormat="1" ht="12.75" customHeight="1">
      <c r="A49" s="28"/>
      <c r="B49" s="29"/>
      <c r="C49" s="29"/>
      <c r="D49" s="30"/>
      <c r="E49" s="42"/>
      <c r="G49" s="54"/>
      <c r="H49" s="29"/>
      <c r="I49" s="29"/>
      <c r="J49" s="222">
        <f>39+88+88.98+1.5</f>
        <v>217.48000000000002</v>
      </c>
      <c r="K49" s="29" t="s">
        <v>245</v>
      </c>
      <c r="M49" s="5"/>
      <c r="P49" s="3"/>
      <c r="Z49" s="8"/>
    </row>
    <row r="50" spans="1:26 16380:16381" s="4" customFormat="1" ht="12.75" customHeight="1">
      <c r="A50" s="28"/>
      <c r="B50" s="29"/>
      <c r="C50" s="29"/>
      <c r="D50" s="30"/>
      <c r="E50" s="42"/>
      <c r="G50" s="54"/>
      <c r="H50" s="29"/>
      <c r="I50" s="29"/>
      <c r="J50" s="222">
        <f>59.25+113.65+61.5+6.8+6.9+11.5+12+14.3</f>
        <v>285.90000000000003</v>
      </c>
      <c r="K50" s="29" t="s">
        <v>245</v>
      </c>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3" t="s">
        <v>271</v>
      </c>
      <c r="G54" s="10"/>
      <c r="J54" s="47"/>
      <c r="M54" s="10"/>
      <c r="P54" s="47"/>
      <c r="Z54" s="69"/>
      <c r="XEZ54" s="78"/>
      <c r="XFA54" s="78"/>
    </row>
    <row r="55" spans="1:26 16380:16381" s="4" customFormat="1" ht="12.75" customHeight="1">
      <c r="A55" s="32" t="s">
        <v>189</v>
      </c>
      <c r="B55" s="30">
        <f t="shared" ref="B55:B70" si="0">SUM(C55:E55)</f>
        <v>1388.62</v>
      </c>
      <c r="C55" s="30">
        <f>SUMIF($C$7:$C$50,A55,$D$7:$D50)</f>
        <v>853.17</v>
      </c>
      <c r="D55" s="30">
        <f t="shared" ref="D55:D70" si="1">SUMIF($I$7:$I$50,A55,$J$7:$J$50)</f>
        <v>527.44999999999993</v>
      </c>
      <c r="E55" s="30">
        <f t="shared" ref="E55:E70" si="2">SUMIF($O$7:$O$50,A55,$P$7:$P$50)</f>
        <v>8</v>
      </c>
      <c r="G55" s="5"/>
      <c r="J55" s="3"/>
      <c r="M55" s="5"/>
      <c r="P55" s="3"/>
      <c r="Z55" s="8"/>
      <c r="XEZ55" s="9"/>
      <c r="XFA55" s="9"/>
    </row>
    <row r="56" spans="1:26 16380:16381" s="4" customFormat="1" ht="12.75" customHeight="1">
      <c r="A56" s="32" t="s">
        <v>195</v>
      </c>
      <c r="B56" s="30">
        <f t="shared" si="0"/>
        <v>583.79</v>
      </c>
      <c r="C56" s="30">
        <f>SUMIF($C$7:$C$50,A56,$D$7:$D50)</f>
        <v>45.69</v>
      </c>
      <c r="D56" s="210">
        <f t="shared" si="1"/>
        <v>472.1</v>
      </c>
      <c r="E56" s="30">
        <f t="shared" si="2"/>
        <v>66</v>
      </c>
      <c r="G56" s="5"/>
      <c r="J56" s="3"/>
      <c r="M56" s="5"/>
      <c r="P56" s="3"/>
      <c r="Z56" s="8"/>
      <c r="XEZ56" s="9"/>
      <c r="XFA56" s="9"/>
    </row>
    <row r="57" spans="1:26 16380:16381" s="4" customFormat="1" ht="12.75" customHeight="1">
      <c r="A57" s="32" t="s">
        <v>203</v>
      </c>
      <c r="B57" s="30">
        <f t="shared" si="0"/>
        <v>255</v>
      </c>
      <c r="C57" s="30">
        <f>SUMIF($C$7:$C$50,A57,$D$7:$D51)</f>
        <v>0</v>
      </c>
      <c r="D57" s="30">
        <f t="shared" si="1"/>
        <v>255</v>
      </c>
      <c r="E57" s="30">
        <f t="shared" si="2"/>
        <v>0</v>
      </c>
      <c r="G57" s="5"/>
      <c r="J57" s="3"/>
      <c r="M57" s="5"/>
      <c r="P57" s="3"/>
      <c r="Z57" s="8"/>
      <c r="XEZ57" s="9"/>
      <c r="XFA57" s="9"/>
    </row>
    <row r="58" spans="1:26 16380:16381" s="4" customFormat="1" ht="12.75" customHeight="1">
      <c r="A58" s="32" t="s">
        <v>206</v>
      </c>
      <c r="B58" s="30">
        <f t="shared" si="0"/>
        <v>7.6</v>
      </c>
      <c r="C58" s="30">
        <f>SUMIF($C$7:$C$50,A58,$D$7:$D52)</f>
        <v>7.6</v>
      </c>
      <c r="D58" s="30">
        <f t="shared" si="1"/>
        <v>0</v>
      </c>
      <c r="E58" s="30">
        <f t="shared" si="2"/>
        <v>0</v>
      </c>
      <c r="G58" s="5"/>
      <c r="J58" s="3"/>
      <c r="M58" s="5"/>
      <c r="P58" s="3"/>
      <c r="Z58" s="8"/>
      <c r="XEZ58" s="9"/>
      <c r="XFA58" s="9"/>
    </row>
    <row r="59" spans="1:26 16380:16381" s="4" customFormat="1" ht="12.75" customHeight="1">
      <c r="A59" s="32" t="s">
        <v>215</v>
      </c>
      <c r="B59" s="30">
        <f t="shared" si="0"/>
        <v>28</v>
      </c>
      <c r="C59" s="30">
        <f>SUMIF($C$7:$C$50,A59,$D$7:$D53)</f>
        <v>28</v>
      </c>
      <c r="D59" s="30">
        <f t="shared" si="1"/>
        <v>0</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0</v>
      </c>
      <c r="C62" s="30">
        <f>SUMIF($C$7:$C$50,A62,$D$7:$D56)</f>
        <v>0</v>
      </c>
      <c r="D62" s="30">
        <f t="shared" si="1"/>
        <v>0</v>
      </c>
      <c r="E62" s="30">
        <f t="shared" si="2"/>
        <v>0</v>
      </c>
      <c r="G62" s="5"/>
      <c r="J62" s="3"/>
      <c r="M62" s="5"/>
      <c r="P62" s="3"/>
      <c r="Z62" s="8"/>
      <c r="XEZ62" s="9"/>
      <c r="XFA62" s="9"/>
    </row>
    <row r="63" spans="1:26 16380:16381" s="4" customFormat="1" ht="12.75" customHeight="1">
      <c r="A63" s="32" t="s">
        <v>230</v>
      </c>
      <c r="B63" s="30">
        <f t="shared" si="0"/>
        <v>40</v>
      </c>
      <c r="C63" s="30">
        <f>SUMIF($C$7:$C$50,A63,$D$7:$D57)</f>
        <v>40</v>
      </c>
      <c r="D63" s="30">
        <f t="shared" si="1"/>
        <v>0</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0</v>
      </c>
      <c r="C66" s="30">
        <f>SUMIF($C$7:$C$50,A66,$D$7:$D60)</f>
        <v>0</v>
      </c>
      <c r="D66" s="30">
        <f t="shared" si="1"/>
        <v>0</v>
      </c>
      <c r="E66" s="30">
        <f t="shared" si="2"/>
        <v>0</v>
      </c>
      <c r="G66" s="5"/>
      <c r="J66" s="3"/>
      <c r="M66" s="5"/>
      <c r="P66" s="3"/>
      <c r="Z66" s="8"/>
      <c r="XEZ66" s="9"/>
      <c r="XFA66" s="9"/>
      <c r="XFB66" s="9"/>
      <c r="XFC66" s="9"/>
      <c r="XFD66" s="9"/>
    </row>
    <row r="67" spans="1:26 16380:16384" s="4" customFormat="1" ht="12.75" customHeight="1">
      <c r="A67" s="32" t="s">
        <v>211</v>
      </c>
      <c r="B67" s="30">
        <f t="shared" si="0"/>
        <v>552.42000000000007</v>
      </c>
      <c r="C67" s="30">
        <f>SUMIF($C$7:$C$50,A67,$D$7:$D61)</f>
        <v>379.39000000000004</v>
      </c>
      <c r="D67" s="30">
        <f t="shared" si="1"/>
        <v>173.03</v>
      </c>
      <c r="E67" s="30">
        <f t="shared" si="2"/>
        <v>0</v>
      </c>
      <c r="G67" s="5"/>
      <c r="J67" s="3"/>
      <c r="M67" s="5"/>
      <c r="P67" s="3"/>
      <c r="Z67" s="8"/>
      <c r="XEZ67" s="9"/>
      <c r="XFA67" s="9"/>
      <c r="XFB67" s="9"/>
      <c r="XFC67" s="9"/>
      <c r="XFD67" s="9"/>
    </row>
    <row r="68" spans="1:26 16380:16384" s="4" customFormat="1" ht="12.75" customHeight="1">
      <c r="A68" s="32" t="s">
        <v>213</v>
      </c>
      <c r="B68" s="30">
        <f t="shared" si="0"/>
        <v>3960.36</v>
      </c>
      <c r="C68" s="30">
        <f>SUMIF($C$7:$C$50,A68,$D$7:$D62)</f>
        <v>742.40000000000009</v>
      </c>
      <c r="D68" s="210">
        <f t="shared" si="1"/>
        <v>2117.96</v>
      </c>
      <c r="E68" s="30">
        <f t="shared" si="2"/>
        <v>1100</v>
      </c>
      <c r="G68" s="5"/>
      <c r="J68" s="3"/>
      <c r="M68" s="5"/>
      <c r="P68" s="3"/>
      <c r="Z68" s="8"/>
      <c r="XEZ68" s="9"/>
      <c r="XFA68" s="9"/>
      <c r="XFB68" s="9"/>
      <c r="XFC68" s="9"/>
      <c r="XFD68" s="9"/>
    </row>
    <row r="69" spans="1:26 16380:16384" s="4" customFormat="1" ht="12.75" customHeight="1">
      <c r="A69" s="32" t="s">
        <v>222</v>
      </c>
      <c r="B69" s="30">
        <f t="shared" si="0"/>
        <v>360</v>
      </c>
      <c r="C69" s="30">
        <f>SUMIF($C$7:$C$50,A69,$D$7:$D63)</f>
        <v>288</v>
      </c>
      <c r="D69" s="30">
        <f t="shared" si="1"/>
        <v>72</v>
      </c>
      <c r="E69" s="30">
        <f t="shared" si="2"/>
        <v>0</v>
      </c>
      <c r="G69" s="5"/>
      <c r="J69" s="3"/>
      <c r="M69" s="5"/>
      <c r="P69" s="3"/>
      <c r="Z69" s="8"/>
      <c r="XEZ69" s="9"/>
      <c r="XFA69" s="9"/>
      <c r="XFB69" s="9"/>
      <c r="XFC69" s="9"/>
      <c r="XFD69" s="9"/>
    </row>
    <row r="70" spans="1:26 16380:16384" s="4" customFormat="1" ht="12.75" customHeight="1">
      <c r="A70" s="32" t="s">
        <v>201</v>
      </c>
      <c r="B70" s="30">
        <f t="shared" si="0"/>
        <v>122.99</v>
      </c>
      <c r="C70" s="30">
        <f>SUMIF($C$7:$C$50,A70,$D$7:$D64)</f>
        <v>0</v>
      </c>
      <c r="D70" s="30">
        <f t="shared" si="1"/>
        <v>0</v>
      </c>
      <c r="E70" s="30">
        <f t="shared" si="2"/>
        <v>122.99</v>
      </c>
      <c r="G70" s="5"/>
      <c r="J70" s="3"/>
      <c r="M70" s="5"/>
      <c r="P70" s="3"/>
      <c r="Z70" s="8"/>
      <c r="XEZ70" s="9"/>
      <c r="XFA70" s="9"/>
      <c r="XFB70" s="9"/>
      <c r="XFC70" s="9"/>
      <c r="XFD70" s="9"/>
    </row>
    <row r="71" spans="1:26 16380:16384" s="3" customFormat="1" ht="35" customHeight="1">
      <c r="A71" s="64" t="s">
        <v>251</v>
      </c>
      <c r="B71" s="30">
        <f>SUM(B55:B70)</f>
        <v>7298.78</v>
      </c>
      <c r="C71" s="30">
        <f>SUM(C55:C70)</f>
        <v>2384.25</v>
      </c>
      <c r="D71" s="30">
        <f>SUM(D55:D70)</f>
        <v>3617.54</v>
      </c>
      <c r="E71" s="30">
        <f>SUM(E55:E70)</f>
        <v>1296.99</v>
      </c>
      <c r="XEZ71" s="79"/>
      <c r="XFA71" s="79"/>
      <c r="XFB71" s="79"/>
      <c r="XFC71" s="79"/>
      <c r="XFD71" s="79"/>
    </row>
    <row r="72" spans="1:26 16380:16384" s="4" customFormat="1" ht="12.75" customHeight="1">
      <c r="A72" s="5"/>
      <c r="D72" s="6"/>
      <c r="E72" s="7"/>
      <c r="G72" s="5"/>
      <c r="J72" s="3"/>
      <c r="M72" s="5"/>
      <c r="P72" s="3"/>
      <c r="Z72" s="8"/>
      <c r="XEZ72" s="9"/>
      <c r="XFA72" s="9"/>
      <c r="XFB72" s="9"/>
      <c r="XFC72" s="9"/>
      <c r="XFD72" s="9"/>
    </row>
  </sheetData>
  <mergeCells count="26">
    <mergeCell ref="S13:S14"/>
    <mergeCell ref="S15:S17"/>
    <mergeCell ref="S19:S20"/>
    <mergeCell ref="W5:AB5"/>
    <mergeCell ref="X7:AB7"/>
    <mergeCell ref="S7:S8"/>
    <mergeCell ref="S9:S12"/>
    <mergeCell ref="N32:Q32"/>
    <mergeCell ref="A5:A6"/>
    <mergeCell ref="E5:E6"/>
    <mergeCell ref="F11:F12"/>
    <mergeCell ref="F13:F16"/>
    <mergeCell ref="F17:F18"/>
    <mergeCell ref="F19:F21"/>
    <mergeCell ref="F23:F24"/>
    <mergeCell ref="G5:G6"/>
    <mergeCell ref="K5:K6"/>
    <mergeCell ref="M5:M6"/>
    <mergeCell ref="Q5:Q6"/>
    <mergeCell ref="A1:E1"/>
    <mergeCell ref="G1:K1"/>
    <mergeCell ref="M1:Q1"/>
    <mergeCell ref="A2:E2"/>
    <mergeCell ref="B5:D5"/>
    <mergeCell ref="H5:J5"/>
    <mergeCell ref="N5:P5"/>
  </mergeCells>
  <phoneticPr fontId="30" type="noConversion"/>
  <dataValidations count="2">
    <dataValidation type="list" allowBlank="1" showInputMessage="1" showErrorMessage="1" sqref="N9 N10 N11 B33 B34 B35 B36 B37 B38 B39 B42 B43 B44 B7:B21 B23:B32 B40:B41 B45:B50 H7:H50 N7:N8 N12:N31" xr:uid="{00000000-0002-0000-0500-000000000000}">
      <formula1>"日常消费,妆服费,学习,医疗,房租水电,交通,交际,其他"</formula1>
    </dataValidation>
    <dataValidation type="list" allowBlank="1" showInputMessage="1" showErrorMessage="1" sqref="O9 O10 O11 C33 C34 C35 C36 C37 C38 C39 C42 C43 C44 C7:C21 C23:C32 C40:C41 C45:C50 I7:I50 O7:O8 O12:O31" xr:uid="{00000000-0002-0000-0500-000001000000}">
      <formula1>$T$6:$T$21</formula1>
    </dataValidation>
  </dataValidations>
  <pageMargins left="0.75" right="0.75" top="1" bottom="1" header="0.51180555555555596" footer="0.5118055555555559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97"/>
  <sheetViews>
    <sheetView showGridLines="0" zoomScale="50" zoomScaleNormal="72" workbookViewId="0">
      <selection activeCell="D67" sqref="D67"/>
    </sheetView>
  </sheetViews>
  <sheetFormatPr baseColWidth="10" defaultColWidth="20.83203125" defaultRowHeight="20" customHeight="1"/>
  <cols>
    <col min="1" max="1" width="14.6640625" style="81" customWidth="1"/>
    <col min="2" max="2" width="16.1640625" style="83" customWidth="1"/>
    <col min="3" max="3" width="16.83203125" style="83" customWidth="1"/>
    <col min="4" max="4" width="17.6640625" style="83" customWidth="1"/>
    <col min="5" max="5" width="17" style="83" customWidth="1"/>
    <col min="6" max="6" width="18.33203125" style="83" customWidth="1"/>
    <col min="7" max="7" width="17.6640625" style="83" customWidth="1"/>
    <col min="8" max="8" width="17.8320312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c r="C2" s="88">
        <v>44593</v>
      </c>
      <c r="D2" s="88">
        <v>44594</v>
      </c>
      <c r="E2" s="88">
        <v>44595</v>
      </c>
      <c r="F2" s="88">
        <v>44596</v>
      </c>
      <c r="G2" s="88">
        <v>44597</v>
      </c>
      <c r="H2" s="88">
        <v>44598</v>
      </c>
      <c r="I2" s="111" t="s">
        <v>7</v>
      </c>
    </row>
    <row r="3" spans="1:9" ht="20" customHeight="1">
      <c r="A3" s="87" t="s">
        <v>8</v>
      </c>
      <c r="B3" s="89"/>
      <c r="C3" s="315" t="s">
        <v>9</v>
      </c>
      <c r="D3" s="88"/>
      <c r="E3" s="315" t="s">
        <v>9</v>
      </c>
      <c r="F3" s="94"/>
      <c r="G3" s="94"/>
      <c r="H3" s="94"/>
      <c r="I3" s="112"/>
    </row>
    <row r="4" spans="1:9" ht="20" customHeight="1">
      <c r="A4" s="87" t="s">
        <v>11</v>
      </c>
      <c r="B4" s="89"/>
      <c r="C4" s="316"/>
      <c r="D4" s="88"/>
      <c r="E4" s="316"/>
      <c r="F4" s="94"/>
      <c r="G4" s="94"/>
      <c r="H4" s="94"/>
      <c r="I4" s="112"/>
    </row>
    <row r="5" spans="1:9" ht="20" customHeight="1">
      <c r="A5" s="87"/>
      <c r="B5" s="89"/>
      <c r="C5" s="316"/>
      <c r="D5" s="88"/>
      <c r="E5" s="316"/>
      <c r="F5" s="94"/>
      <c r="G5" s="94"/>
      <c r="H5" s="94"/>
      <c r="I5" s="112"/>
    </row>
    <row r="6" spans="1:9" ht="20" customHeight="1">
      <c r="A6" s="87" t="s">
        <v>13</v>
      </c>
      <c r="B6" s="89"/>
      <c r="C6" s="316"/>
      <c r="D6" s="88"/>
      <c r="E6" s="316"/>
      <c r="F6" s="94"/>
      <c r="G6" s="94"/>
      <c r="H6" s="94"/>
      <c r="I6" s="112"/>
    </row>
    <row r="7" spans="1:9" ht="20" customHeight="1">
      <c r="A7" s="87"/>
      <c r="B7" s="89"/>
      <c r="C7" s="316"/>
      <c r="D7" s="88"/>
      <c r="E7" s="316"/>
      <c r="F7" s="94"/>
      <c r="G7" s="94"/>
      <c r="H7" s="94"/>
      <c r="I7" s="112"/>
    </row>
    <row r="8" spans="1:9" ht="20" customHeight="1">
      <c r="A8" s="87" t="s">
        <v>14</v>
      </c>
      <c r="B8" s="89"/>
      <c r="C8" s="316"/>
      <c r="D8" s="88"/>
      <c r="E8" s="316"/>
      <c r="F8" s="94"/>
      <c r="G8" s="94"/>
      <c r="H8" s="94"/>
      <c r="I8" s="112"/>
    </row>
    <row r="9" spans="1:9" ht="20" customHeight="1">
      <c r="A9" s="87"/>
      <c r="B9" s="89"/>
      <c r="C9" s="316"/>
      <c r="D9" s="88"/>
      <c r="E9" s="316"/>
      <c r="F9" s="94"/>
      <c r="G9" s="94"/>
      <c r="H9" s="94"/>
      <c r="I9" s="111" t="s">
        <v>17</v>
      </c>
    </row>
    <row r="10" spans="1:9" ht="20" customHeight="1">
      <c r="A10" s="87" t="s">
        <v>18</v>
      </c>
      <c r="B10" s="89"/>
      <c r="C10" s="316"/>
      <c r="D10" s="88"/>
      <c r="E10" s="316"/>
      <c r="F10" s="94"/>
      <c r="G10" s="94"/>
      <c r="H10" s="94"/>
      <c r="I10" s="112"/>
    </row>
    <row r="11" spans="1:9" ht="20" customHeight="1">
      <c r="A11" s="87"/>
      <c r="B11" s="88"/>
      <c r="C11" s="316"/>
      <c r="D11" s="88"/>
      <c r="E11" s="316"/>
      <c r="F11" s="94"/>
      <c r="G11" s="94"/>
      <c r="H11" s="94"/>
      <c r="I11" s="113"/>
    </row>
    <row r="12" spans="1:9" ht="20" customHeight="1">
      <c r="A12" s="87" t="s">
        <v>23</v>
      </c>
      <c r="B12" s="88"/>
      <c r="C12" s="317"/>
      <c r="D12" s="88"/>
      <c r="E12" s="316"/>
      <c r="F12" s="94"/>
      <c r="G12" s="94"/>
      <c r="H12" s="94"/>
      <c r="I12" s="112"/>
    </row>
    <row r="13" spans="1:9" ht="20" customHeight="1">
      <c r="A13" s="87"/>
      <c r="B13" s="89"/>
      <c r="C13" s="90" t="s">
        <v>122</v>
      </c>
      <c r="D13" s="88"/>
      <c r="E13" s="317"/>
      <c r="F13" s="94"/>
      <c r="G13" s="94"/>
      <c r="H13" s="94"/>
      <c r="I13" s="112"/>
    </row>
    <row r="14" spans="1:9" ht="20" customHeight="1">
      <c r="A14" s="87" t="s">
        <v>28</v>
      </c>
      <c r="B14" s="89"/>
      <c r="C14" s="318" t="s">
        <v>456</v>
      </c>
      <c r="D14" s="88"/>
      <c r="E14" s="108" t="s">
        <v>122</v>
      </c>
      <c r="F14" s="94"/>
      <c r="G14" s="94"/>
      <c r="H14" s="94"/>
      <c r="I14" s="111" t="s">
        <v>29</v>
      </c>
    </row>
    <row r="15" spans="1:9" ht="20" customHeight="1">
      <c r="A15" s="87"/>
      <c r="B15" s="89"/>
      <c r="C15" s="320"/>
      <c r="D15" s="88"/>
      <c r="E15" s="295" t="s">
        <v>457</v>
      </c>
      <c r="F15" s="94"/>
      <c r="G15" s="94"/>
      <c r="H15" s="94"/>
      <c r="I15" s="114"/>
    </row>
    <row r="16" spans="1:9" ht="20" customHeight="1">
      <c r="A16" s="87" t="s">
        <v>31</v>
      </c>
      <c r="B16" s="89"/>
      <c r="C16" s="319"/>
      <c r="D16" s="88"/>
      <c r="E16" s="321"/>
      <c r="F16" s="94"/>
      <c r="G16" s="94"/>
      <c r="H16" s="94"/>
      <c r="I16" s="113"/>
    </row>
    <row r="17" spans="1:9" ht="20" customHeight="1">
      <c r="A17" s="87"/>
      <c r="B17" s="89"/>
      <c r="C17" s="379" t="s">
        <v>35</v>
      </c>
      <c r="D17" s="88"/>
      <c r="E17" s="321"/>
      <c r="F17" s="94"/>
      <c r="G17" s="94"/>
      <c r="H17" s="94"/>
      <c r="I17" s="112"/>
    </row>
    <row r="18" spans="1:9" ht="20" customHeight="1">
      <c r="A18" s="91" t="s">
        <v>34</v>
      </c>
      <c r="B18" s="88"/>
      <c r="C18" s="380"/>
      <c r="D18" s="88"/>
      <c r="E18" s="321"/>
      <c r="F18" s="94"/>
      <c r="G18" s="94"/>
      <c r="H18" s="94"/>
      <c r="I18" s="112"/>
    </row>
    <row r="19" spans="1:9" ht="20" customHeight="1">
      <c r="A19" s="87"/>
      <c r="B19" s="89"/>
      <c r="C19" s="318" t="s">
        <v>105</v>
      </c>
      <c r="D19" s="88"/>
      <c r="E19" s="321"/>
      <c r="F19" s="94"/>
      <c r="G19" s="94"/>
      <c r="H19" s="94"/>
      <c r="I19" s="114"/>
    </row>
    <row r="20" spans="1:9" ht="20" customHeight="1">
      <c r="A20" s="87" t="s">
        <v>37</v>
      </c>
      <c r="B20" s="89"/>
      <c r="C20" s="319"/>
      <c r="D20" s="88"/>
      <c r="E20" s="321"/>
      <c r="F20" s="94"/>
      <c r="G20" s="94"/>
      <c r="H20" s="94"/>
      <c r="I20" s="114"/>
    </row>
    <row r="21" spans="1:9" ht="20" customHeight="1">
      <c r="A21" s="87"/>
      <c r="B21" s="89"/>
      <c r="C21" s="92" t="s">
        <v>458</v>
      </c>
      <c r="D21" s="93"/>
      <c r="E21" s="321"/>
      <c r="F21" s="94"/>
      <c r="G21" s="94"/>
      <c r="H21" s="94"/>
      <c r="I21" s="112"/>
    </row>
    <row r="22" spans="1:9" ht="20" customHeight="1">
      <c r="A22" s="87" t="s">
        <v>40</v>
      </c>
      <c r="B22" s="89"/>
      <c r="C22" s="340" t="s">
        <v>81</v>
      </c>
      <c r="D22" s="94"/>
      <c r="E22" s="321"/>
      <c r="F22" s="94"/>
      <c r="G22" s="94"/>
      <c r="H22" s="94"/>
      <c r="I22" s="111" t="s">
        <v>42</v>
      </c>
    </row>
    <row r="23" spans="1:9" ht="20" customHeight="1">
      <c r="A23" s="87"/>
      <c r="B23" s="89"/>
      <c r="C23" s="341"/>
      <c r="D23" s="94"/>
      <c r="E23" s="296"/>
      <c r="F23" s="94"/>
      <c r="G23" s="94"/>
      <c r="H23" s="94"/>
      <c r="I23" s="112"/>
    </row>
    <row r="24" spans="1:9" ht="20" customHeight="1">
      <c r="A24" s="87" t="s">
        <v>44</v>
      </c>
      <c r="B24" s="89"/>
      <c r="C24" s="341"/>
      <c r="D24" s="94"/>
      <c r="E24" s="377" t="s">
        <v>459</v>
      </c>
      <c r="F24" s="94"/>
      <c r="G24" s="94"/>
      <c r="H24" s="94"/>
      <c r="I24" s="112"/>
    </row>
    <row r="25" spans="1:9" ht="20" customHeight="1">
      <c r="A25" s="87"/>
      <c r="B25" s="89"/>
      <c r="C25" s="341"/>
      <c r="D25" s="94"/>
      <c r="E25" s="378"/>
      <c r="F25" s="94"/>
      <c r="G25" s="94"/>
      <c r="H25" s="94"/>
      <c r="I25" s="112"/>
    </row>
    <row r="26" spans="1:9" ht="20" customHeight="1">
      <c r="A26" s="87" t="s">
        <v>45</v>
      </c>
      <c r="B26" s="89"/>
      <c r="C26" s="342"/>
      <c r="D26" s="94"/>
      <c r="E26" s="295" t="s">
        <v>460</v>
      </c>
      <c r="F26" s="94"/>
      <c r="G26" s="94"/>
      <c r="H26" s="94"/>
      <c r="I26" s="114"/>
    </row>
    <row r="27" spans="1:9" ht="20" customHeight="1">
      <c r="A27" s="87"/>
      <c r="B27" s="89"/>
      <c r="C27" s="89"/>
      <c r="D27" s="94"/>
      <c r="E27" s="321"/>
      <c r="F27" s="94"/>
      <c r="G27" s="94"/>
      <c r="H27" s="94"/>
      <c r="I27" s="112"/>
    </row>
    <row r="28" spans="1:9" ht="20" customHeight="1">
      <c r="A28" s="87" t="s">
        <v>46</v>
      </c>
      <c r="B28" s="89"/>
      <c r="C28" s="89"/>
      <c r="D28" s="94"/>
      <c r="E28" s="321"/>
      <c r="F28" s="94"/>
      <c r="G28" s="94"/>
      <c r="H28" s="94"/>
      <c r="I28" s="112"/>
    </row>
    <row r="29" spans="1:9" ht="20" customHeight="1">
      <c r="A29" s="87"/>
      <c r="B29" s="89"/>
      <c r="C29" s="89"/>
      <c r="D29" s="94"/>
      <c r="E29" s="296"/>
      <c r="F29" s="94"/>
      <c r="G29" s="94"/>
      <c r="H29" s="94"/>
      <c r="I29" s="112"/>
    </row>
    <row r="30" spans="1:9" ht="20" customHeight="1">
      <c r="A30" s="87" t="s">
        <v>47</v>
      </c>
      <c r="B30" s="88"/>
      <c r="C30" s="89"/>
      <c r="D30" s="94"/>
      <c r="E30" s="94"/>
      <c r="F30" s="94"/>
      <c r="G30" s="94"/>
      <c r="H30" s="94"/>
      <c r="I30" s="115"/>
    </row>
    <row r="31" spans="1:9" ht="20" customHeight="1">
      <c r="A31" s="91"/>
      <c r="B31" s="89"/>
      <c r="C31" s="89"/>
      <c r="D31" s="94"/>
      <c r="E31" s="94"/>
      <c r="F31" s="94"/>
      <c r="G31" s="94"/>
      <c r="H31" s="94"/>
      <c r="I31" s="115"/>
    </row>
    <row r="32" spans="1:9" ht="20" customHeight="1">
      <c r="A32" s="87" t="s">
        <v>50</v>
      </c>
      <c r="B32" s="89"/>
      <c r="C32" s="89"/>
      <c r="D32" s="94"/>
      <c r="E32" s="94"/>
      <c r="F32" s="94"/>
      <c r="G32" s="94"/>
      <c r="H32" s="94"/>
      <c r="I32" s="115"/>
    </row>
    <row r="33" spans="1:9" ht="20" customHeight="1">
      <c r="A33" s="87"/>
      <c r="B33" s="89"/>
      <c r="C33" s="89"/>
      <c r="D33" s="94"/>
      <c r="E33" s="94"/>
      <c r="F33" s="94"/>
      <c r="G33" s="94"/>
      <c r="H33" s="94"/>
      <c r="I33" s="115"/>
    </row>
    <row r="34" spans="1:9" ht="20" customHeight="1">
      <c r="A34" s="87" t="s">
        <v>53</v>
      </c>
      <c r="B34" s="89"/>
      <c r="C34" s="340" t="s">
        <v>461</v>
      </c>
      <c r="D34" s="94"/>
      <c r="E34" s="94"/>
      <c r="F34" s="94"/>
      <c r="G34" s="94"/>
      <c r="H34" s="94"/>
      <c r="I34" s="115"/>
    </row>
    <row r="35" spans="1:9" ht="20" customHeight="1">
      <c r="A35" s="87"/>
      <c r="B35" s="89"/>
      <c r="C35" s="341"/>
      <c r="D35" s="94"/>
      <c r="E35" s="94"/>
      <c r="F35" s="94"/>
      <c r="G35" s="94"/>
      <c r="H35" s="94"/>
      <c r="I35" s="111" t="s">
        <v>54</v>
      </c>
    </row>
    <row r="36" spans="1:9" ht="20" customHeight="1">
      <c r="A36" s="87" t="s">
        <v>55</v>
      </c>
      <c r="B36" s="95"/>
      <c r="C36" s="341"/>
      <c r="D36" s="94"/>
      <c r="E36" s="94"/>
      <c r="F36" s="94"/>
      <c r="G36" s="94"/>
      <c r="H36" s="94"/>
      <c r="I36" s="113"/>
    </row>
    <row r="37" spans="1:9" ht="20" customHeight="1">
      <c r="A37" s="87"/>
      <c r="B37" s="95"/>
      <c r="C37" s="341"/>
      <c r="D37" s="94"/>
      <c r="E37" s="94"/>
      <c r="F37" s="94"/>
      <c r="G37" s="94"/>
      <c r="H37" s="94"/>
      <c r="I37" s="112"/>
    </row>
    <row r="38" spans="1:9" ht="20" customHeight="1">
      <c r="A38" s="87" t="s">
        <v>56</v>
      </c>
      <c r="B38" s="95"/>
      <c r="C38" s="342"/>
      <c r="D38" s="94"/>
      <c r="E38" s="94"/>
      <c r="F38" s="94"/>
      <c r="G38" s="94"/>
      <c r="H38" s="94"/>
      <c r="I38" s="114"/>
    </row>
    <row r="39" spans="1:9" ht="20" customHeight="1">
      <c r="A39" s="87"/>
      <c r="B39" s="95"/>
      <c r="C39" s="89"/>
      <c r="D39" s="94"/>
      <c r="E39" s="94"/>
      <c r="F39" s="94"/>
      <c r="G39" s="94"/>
      <c r="H39" s="94"/>
      <c r="I39" s="111"/>
    </row>
    <row r="40" spans="1:9" ht="20" customHeight="1">
      <c r="A40" s="87" t="s">
        <v>60</v>
      </c>
      <c r="B40" s="88"/>
      <c r="C40" s="89"/>
      <c r="D40" s="94"/>
      <c r="E40" s="94"/>
      <c r="F40" s="94"/>
      <c r="G40" s="94"/>
      <c r="H40" s="94"/>
      <c r="I40" s="113"/>
    </row>
    <row r="41" spans="1:9" ht="20" customHeight="1">
      <c r="A41" s="87"/>
      <c r="B41" s="88"/>
      <c r="C41" s="89"/>
      <c r="D41" s="94"/>
      <c r="E41" s="94"/>
      <c r="F41" s="94"/>
      <c r="G41" s="94"/>
      <c r="H41" s="94"/>
      <c r="I41" s="114"/>
    </row>
    <row r="42" spans="1:9" ht="20" customHeight="1">
      <c r="A42" s="87" t="s">
        <v>62</v>
      </c>
      <c r="B42" s="89"/>
      <c r="C42" s="89"/>
      <c r="D42" s="94"/>
      <c r="E42" s="94"/>
      <c r="F42" s="94"/>
      <c r="G42" s="94"/>
      <c r="H42" s="94"/>
      <c r="I42" s="114"/>
    </row>
    <row r="43" spans="1:9" ht="20" customHeight="1">
      <c r="A43" s="87"/>
      <c r="B43" s="89"/>
      <c r="C43" s="94"/>
      <c r="D43" s="94"/>
      <c r="E43" s="94"/>
      <c r="F43" s="94"/>
      <c r="G43" s="94"/>
      <c r="H43" s="94"/>
      <c r="I43" s="112"/>
    </row>
    <row r="44" spans="1:9" ht="20" customHeight="1">
      <c r="A44" s="87" t="s">
        <v>63</v>
      </c>
      <c r="B44" s="89"/>
      <c r="C44" s="96"/>
      <c r="D44" s="94"/>
      <c r="E44" s="94"/>
      <c r="F44" s="94"/>
      <c r="G44" s="94"/>
      <c r="H44" s="94"/>
      <c r="I44" s="112"/>
    </row>
    <row r="45" spans="1:9" ht="20" customHeight="1">
      <c r="A45" s="87"/>
      <c r="B45" s="89"/>
      <c r="C45" s="96"/>
      <c r="D45" s="94"/>
      <c r="E45" s="94"/>
      <c r="F45" s="94"/>
      <c r="G45" s="94"/>
      <c r="H45" s="94"/>
      <c r="I45" s="112"/>
    </row>
    <row r="46" spans="1:9" ht="20" customHeight="1">
      <c r="A46" s="87" t="s">
        <v>64</v>
      </c>
      <c r="B46" s="89"/>
      <c r="C46" s="96"/>
      <c r="D46" s="94"/>
      <c r="E46" s="94"/>
      <c r="F46" s="94"/>
      <c r="G46" s="94"/>
      <c r="H46" s="94"/>
      <c r="I46" s="111" t="s">
        <v>65</v>
      </c>
    </row>
    <row r="47" spans="1:9" ht="20" customHeight="1">
      <c r="A47" s="87"/>
      <c r="B47" s="89"/>
      <c r="C47" s="94"/>
      <c r="D47" s="94"/>
      <c r="E47" s="94"/>
      <c r="F47" s="94"/>
      <c r="G47" s="94"/>
      <c r="H47" s="94"/>
      <c r="I47" s="116"/>
    </row>
    <row r="48" spans="1:9" ht="20" customHeight="1">
      <c r="A48" s="87" t="s">
        <v>66</v>
      </c>
      <c r="B48" s="89"/>
      <c r="C48" s="94"/>
      <c r="D48" s="94"/>
      <c r="E48" s="94"/>
      <c r="F48" s="94"/>
      <c r="G48" s="94"/>
      <c r="H48" s="94"/>
      <c r="I48" s="114"/>
    </row>
    <row r="49" spans="1:14" ht="20" customHeight="1">
      <c r="A49" s="87"/>
      <c r="B49" s="89"/>
      <c r="C49" s="94"/>
      <c r="D49" s="94"/>
      <c r="E49" s="94"/>
      <c r="F49" s="94"/>
      <c r="G49" s="94"/>
      <c r="H49" s="94"/>
      <c r="I49" s="114"/>
    </row>
    <row r="50" spans="1:14" ht="20" customHeight="1">
      <c r="A50" s="87" t="s">
        <v>67</v>
      </c>
      <c r="B50" s="89"/>
      <c r="C50" s="94"/>
      <c r="D50" s="94"/>
      <c r="E50" s="94"/>
      <c r="F50" s="94"/>
      <c r="G50" s="94"/>
      <c r="H50" s="94"/>
      <c r="I50" s="112"/>
    </row>
    <row r="51" spans="1:14" ht="20" customHeight="1">
      <c r="A51" s="97" t="s">
        <v>68</v>
      </c>
      <c r="B51" s="98">
        <f>GetColorCount(B$2:B$50,$A51)*0.5</f>
        <v>0</v>
      </c>
      <c r="C51" s="98">
        <f t="shared" ref="B51:H55" si="0">GetColorCount(C$2:C$50,$A51)*0.5</f>
        <v>0.5</v>
      </c>
      <c r="D51" s="98">
        <f t="shared" si="0"/>
        <v>0</v>
      </c>
      <c r="E51" s="98">
        <f t="shared" si="0"/>
        <v>1.5</v>
      </c>
      <c r="F51" s="98">
        <f t="shared" si="0"/>
        <v>0</v>
      </c>
      <c r="G51" s="98">
        <f t="shared" si="0"/>
        <v>0</v>
      </c>
      <c r="H51" s="98">
        <f t="shared" si="0"/>
        <v>0</v>
      </c>
      <c r="I51" s="117" t="s">
        <v>123</v>
      </c>
    </row>
    <row r="52" spans="1:14" ht="20" customHeight="1">
      <c r="A52" s="99" t="s">
        <v>9</v>
      </c>
      <c r="B52" s="98">
        <f t="shared" si="0"/>
        <v>0</v>
      </c>
      <c r="C52" s="98">
        <f t="shared" si="0"/>
        <v>5</v>
      </c>
      <c r="D52" s="98">
        <f t="shared" si="0"/>
        <v>0</v>
      </c>
      <c r="E52" s="98">
        <f t="shared" si="0"/>
        <v>5.5</v>
      </c>
      <c r="F52" s="98">
        <f t="shared" si="0"/>
        <v>0</v>
      </c>
      <c r="G52" s="98">
        <f t="shared" si="0"/>
        <v>0</v>
      </c>
      <c r="H52" s="98">
        <f t="shared" si="0"/>
        <v>0</v>
      </c>
      <c r="I52" s="118"/>
    </row>
    <row r="53" spans="1:14" ht="20" customHeight="1">
      <c r="A53" s="100" t="s">
        <v>71</v>
      </c>
      <c r="B53" s="98">
        <f t="shared" si="0"/>
        <v>0</v>
      </c>
      <c r="C53" s="98">
        <f t="shared" si="0"/>
        <v>9</v>
      </c>
      <c r="D53" s="98">
        <f t="shared" si="0"/>
        <v>0</v>
      </c>
      <c r="E53" s="98">
        <f t="shared" si="0"/>
        <v>6.5</v>
      </c>
      <c r="F53" s="98">
        <f t="shared" si="0"/>
        <v>0</v>
      </c>
      <c r="G53" s="98">
        <f t="shared" si="0"/>
        <v>0</v>
      </c>
      <c r="H53" s="98">
        <f t="shared" si="0"/>
        <v>0</v>
      </c>
      <c r="I53" s="110"/>
    </row>
    <row r="54" spans="1:14" ht="20" customHeight="1">
      <c r="A54" s="101" t="s">
        <v>72</v>
      </c>
      <c r="B54" s="98">
        <f t="shared" si="0"/>
        <v>0</v>
      </c>
      <c r="C54" s="98">
        <f t="shared" si="0"/>
        <v>0</v>
      </c>
      <c r="D54" s="98">
        <f t="shared" si="0"/>
        <v>0</v>
      </c>
      <c r="E54" s="98">
        <f t="shared" si="0"/>
        <v>0</v>
      </c>
      <c r="F54" s="98">
        <f t="shared" si="0"/>
        <v>0</v>
      </c>
      <c r="G54" s="98">
        <f t="shared" si="0"/>
        <v>0</v>
      </c>
      <c r="H54" s="98">
        <f t="shared" si="0"/>
        <v>0</v>
      </c>
      <c r="I54" s="119"/>
    </row>
    <row r="55" spans="1:14" ht="20" customHeight="1">
      <c r="A55" s="102" t="s">
        <v>73</v>
      </c>
      <c r="B55" s="98">
        <f t="shared" si="0"/>
        <v>0</v>
      </c>
      <c r="C55" s="98">
        <f t="shared" si="0"/>
        <v>0</v>
      </c>
      <c r="D55" s="98">
        <f t="shared" si="0"/>
        <v>0</v>
      </c>
      <c r="E55" s="98">
        <f t="shared" si="0"/>
        <v>0</v>
      </c>
      <c r="F55" s="98">
        <f t="shared" si="0"/>
        <v>0</v>
      </c>
      <c r="G55" s="98">
        <f t="shared" si="0"/>
        <v>0</v>
      </c>
      <c r="H55" s="98">
        <f t="shared" si="0"/>
        <v>0</v>
      </c>
      <c r="I55" s="119"/>
    </row>
    <row r="56" spans="1:14" s="82" customFormat="1" ht="20" customHeight="1">
      <c r="A56" s="103" t="s">
        <v>74</v>
      </c>
      <c r="B56" s="104">
        <f t="shared" ref="B56:H56" si="1">SUM(B51:B55)</f>
        <v>0</v>
      </c>
      <c r="C56" s="104">
        <f t="shared" si="1"/>
        <v>14.5</v>
      </c>
      <c r="D56" s="104">
        <f t="shared" si="1"/>
        <v>0</v>
      </c>
      <c r="E56" s="104">
        <f t="shared" si="1"/>
        <v>13.5</v>
      </c>
      <c r="F56" s="104">
        <f>SUM(F51:F55)</f>
        <v>0</v>
      </c>
      <c r="G56" s="104">
        <f t="shared" si="1"/>
        <v>0</v>
      </c>
      <c r="H56" s="104">
        <f t="shared" si="1"/>
        <v>0</v>
      </c>
      <c r="I56" s="120"/>
    </row>
    <row r="57" spans="1:14" ht="20" customHeight="1">
      <c r="A57" s="311" t="s">
        <v>68</v>
      </c>
      <c r="B57" s="312" t="s">
        <v>9</v>
      </c>
      <c r="C57" s="300" t="s">
        <v>75</v>
      </c>
      <c r="D57" s="307" t="s">
        <v>76</v>
      </c>
      <c r="E57" s="313" t="s">
        <v>77</v>
      </c>
      <c r="F57" s="352" t="s">
        <v>78</v>
      </c>
      <c r="G57" s="109"/>
      <c r="H57" s="109"/>
      <c r="I57" s="117" t="s">
        <v>108</v>
      </c>
    </row>
    <row r="58" spans="1:14" s="81" customFormat="1" ht="20" customHeight="1">
      <c r="A58" s="311"/>
      <c r="B58" s="312"/>
      <c r="C58" s="300"/>
      <c r="D58" s="308"/>
      <c r="E58" s="313"/>
      <c r="F58" s="352"/>
      <c r="G58" s="109"/>
      <c r="H58" s="109"/>
      <c r="I58" s="121"/>
    </row>
    <row r="59" spans="1:14" s="81" customFormat="1" ht="20" customHeight="1">
      <c r="A59" s="311"/>
      <c r="B59" s="312"/>
      <c r="C59" s="300"/>
      <c r="D59" s="308"/>
      <c r="E59" s="313"/>
      <c r="F59" s="352"/>
      <c r="G59" s="109"/>
      <c r="H59" s="109"/>
      <c r="I59" s="95"/>
    </row>
    <row r="60" spans="1:14" s="81" customFormat="1" ht="20" customHeight="1">
      <c r="A60" s="106">
        <f>SUM(B51:H51)</f>
        <v>2</v>
      </c>
      <c r="B60" s="106">
        <f>SUM(B52:H52)</f>
        <v>10.5</v>
      </c>
      <c r="C60" s="106">
        <f>SUM(B53:H53)</f>
        <v>15.5</v>
      </c>
      <c r="D60" s="106">
        <f>SUM(B54:H54)</f>
        <v>0</v>
      </c>
      <c r="E60" s="106">
        <f>SUM(B55:H55)</f>
        <v>0</v>
      </c>
      <c r="F60" s="106">
        <f>SUM(B56:H56)</f>
        <v>28</v>
      </c>
      <c r="G60" s="83"/>
      <c r="H60" s="83"/>
      <c r="I60" s="95"/>
    </row>
    <row r="61" spans="1:14" ht="20" customHeight="1">
      <c r="A61" s="107">
        <f>A60/7</f>
        <v>0.2857142857142857</v>
      </c>
      <c r="B61" s="107">
        <f>B60/7</f>
        <v>1.5</v>
      </c>
      <c r="C61" s="107">
        <f>C60/7</f>
        <v>2.2142857142857144</v>
      </c>
      <c r="D61" s="107">
        <f>D60/7</f>
        <v>0</v>
      </c>
      <c r="E61" s="106">
        <f>E60/7</f>
        <v>0</v>
      </c>
      <c r="F61" s="107"/>
      <c r="I61" s="122"/>
    </row>
    <row r="62" spans="1:14" ht="20" customHeight="1">
      <c r="I62" s="80"/>
    </row>
    <row r="63" spans="1:14" ht="20" customHeight="1">
      <c r="I63" s="310"/>
      <c r="J63" s="310"/>
      <c r="K63" s="310"/>
      <c r="L63" s="310"/>
      <c r="M63" s="310"/>
      <c r="N63" s="310"/>
    </row>
    <row r="65" spans="6:9" ht="20" customHeight="1">
      <c r="H65" s="123"/>
      <c r="I65" s="126"/>
    </row>
    <row r="66" spans="6:9" ht="20" customHeight="1">
      <c r="H66" s="124"/>
      <c r="I66" s="126"/>
    </row>
    <row r="67" spans="6:9" ht="20" customHeight="1">
      <c r="H67" s="123"/>
      <c r="I67" s="126"/>
    </row>
    <row r="68" spans="6:9" ht="20" customHeight="1">
      <c r="H68" s="123"/>
      <c r="I68" s="126"/>
    </row>
    <row r="69" spans="6:9" ht="20" customHeight="1">
      <c r="H69" s="123"/>
      <c r="I69" s="126"/>
    </row>
    <row r="73" spans="6:9" ht="20" customHeight="1">
      <c r="F73" s="125"/>
    </row>
    <row r="90" spans="9:9" ht="20" customHeight="1">
      <c r="I90" s="80"/>
    </row>
    <row r="91" spans="9:9" ht="20" customHeight="1">
      <c r="I91" s="80"/>
    </row>
    <row r="92" spans="9:9" ht="20" customHeight="1">
      <c r="I92" s="80"/>
    </row>
    <row r="93" spans="9:9" ht="20" customHeight="1">
      <c r="I93" s="80"/>
    </row>
    <row r="94" spans="9:9" ht="20" customHeight="1">
      <c r="I94" s="80"/>
    </row>
    <row r="95" spans="9:9" ht="20" customHeight="1">
      <c r="I95" s="80"/>
    </row>
    <row r="96" spans="9:9" ht="20" customHeight="1">
      <c r="I96" s="80"/>
    </row>
    <row r="97" spans="1:8" s="80" customFormat="1" ht="20" customHeight="1">
      <c r="A97" s="81"/>
      <c r="B97" s="83"/>
      <c r="C97" s="83"/>
      <c r="D97" s="83"/>
      <c r="E97" s="83"/>
      <c r="F97" s="83"/>
      <c r="G97" s="83"/>
      <c r="H97" s="83"/>
    </row>
  </sheetData>
  <mergeCells count="17">
    <mergeCell ref="E3:E13"/>
    <mergeCell ref="E15:E23"/>
    <mergeCell ref="E24:E25"/>
    <mergeCell ref="E26:E29"/>
    <mergeCell ref="C3:C12"/>
    <mergeCell ref="C14:C16"/>
    <mergeCell ref="C17:C18"/>
    <mergeCell ref="C19:C20"/>
    <mergeCell ref="C22:C26"/>
    <mergeCell ref="F57:F59"/>
    <mergeCell ref="I63:N63"/>
    <mergeCell ref="A57:A59"/>
    <mergeCell ref="B57:B59"/>
    <mergeCell ref="C34:C38"/>
    <mergeCell ref="C57:C59"/>
    <mergeCell ref="D57:D59"/>
    <mergeCell ref="E57:E59"/>
  </mergeCells>
  <phoneticPr fontId="30" type="noConversion"/>
  <pageMargins left="0.75" right="0.75" top="1" bottom="1" header="0.51180555555555596" footer="0.5118055555555559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FFBD6-F9D8-214D-8C57-926F4769D530}">
  <dimension ref="A1:N97"/>
  <sheetViews>
    <sheetView showGridLines="0" topLeftCell="A5" zoomScale="75" workbookViewId="0">
      <selection activeCell="I28" sqref="I28"/>
    </sheetView>
  </sheetViews>
  <sheetFormatPr baseColWidth="10" defaultColWidth="20.83203125" defaultRowHeight="15"/>
  <cols>
    <col min="1" max="1" width="14.6640625" style="81" customWidth="1"/>
    <col min="2" max="2" width="16.1640625" style="83" customWidth="1"/>
    <col min="3" max="3" width="16.83203125" style="83" customWidth="1"/>
    <col min="4" max="4" width="17.6640625" style="83" customWidth="1"/>
    <col min="5" max="5" width="17" style="83" customWidth="1"/>
    <col min="6" max="6" width="18.33203125" style="83" customWidth="1"/>
    <col min="7" max="7" width="17.6640625" style="83" customWidth="1"/>
    <col min="8" max="8" width="17.8320312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v>44599</v>
      </c>
      <c r="C2" s="88">
        <v>44600</v>
      </c>
      <c r="D2" s="88">
        <v>44601</v>
      </c>
      <c r="E2" s="88">
        <v>44602</v>
      </c>
      <c r="F2" s="88">
        <v>44603</v>
      </c>
      <c r="G2" s="88">
        <v>44604</v>
      </c>
      <c r="H2" s="88">
        <v>44605</v>
      </c>
      <c r="I2" s="111" t="s">
        <v>7</v>
      </c>
    </row>
    <row r="3" spans="1:9" ht="20" customHeight="1">
      <c r="A3" s="87" t="s">
        <v>8</v>
      </c>
      <c r="B3" s="381" t="s">
        <v>482</v>
      </c>
      <c r="C3" s="381" t="s">
        <v>482</v>
      </c>
      <c r="D3" s="381" t="s">
        <v>482</v>
      </c>
      <c r="E3" s="381" t="s">
        <v>482</v>
      </c>
      <c r="F3" s="381" t="s">
        <v>482</v>
      </c>
      <c r="G3" s="381" t="s">
        <v>482</v>
      </c>
      <c r="H3" s="403" t="s">
        <v>482</v>
      </c>
      <c r="I3" s="112"/>
    </row>
    <row r="4" spans="1:9" ht="20" customHeight="1">
      <c r="A4" s="87" t="s">
        <v>11</v>
      </c>
      <c r="B4" s="316"/>
      <c r="C4" s="316"/>
      <c r="D4" s="316"/>
      <c r="E4" s="316"/>
      <c r="F4" s="316"/>
      <c r="G4" s="316"/>
      <c r="H4" s="403"/>
      <c r="I4" s="112"/>
    </row>
    <row r="5" spans="1:9" ht="20" customHeight="1">
      <c r="A5" s="87"/>
      <c r="B5" s="316"/>
      <c r="C5" s="316"/>
      <c r="D5" s="316"/>
      <c r="E5" s="316"/>
      <c r="F5" s="316"/>
      <c r="G5" s="316"/>
      <c r="H5" s="403"/>
      <c r="I5" s="112"/>
    </row>
    <row r="6" spans="1:9" ht="20" customHeight="1">
      <c r="A6" s="87" t="s">
        <v>13</v>
      </c>
      <c r="B6" s="316"/>
      <c r="C6" s="316"/>
      <c r="D6" s="316"/>
      <c r="E6" s="316"/>
      <c r="F6" s="316"/>
      <c r="G6" s="316"/>
      <c r="H6" s="403"/>
      <c r="I6" s="112"/>
    </row>
    <row r="7" spans="1:9" ht="20" customHeight="1">
      <c r="A7" s="87"/>
      <c r="B7" s="316"/>
      <c r="C7" s="316"/>
      <c r="D7" s="316"/>
      <c r="E7" s="316"/>
      <c r="F7" s="316"/>
      <c r="G7" s="316"/>
      <c r="H7" s="403"/>
      <c r="I7" s="112"/>
    </row>
    <row r="8" spans="1:9" ht="20" customHeight="1">
      <c r="A8" s="87" t="s">
        <v>14</v>
      </c>
      <c r="B8" s="316"/>
      <c r="C8" s="316"/>
      <c r="D8" s="316"/>
      <c r="E8" s="316"/>
      <c r="F8" s="316"/>
      <c r="G8" s="316"/>
      <c r="H8" s="403"/>
      <c r="I8" s="112"/>
    </row>
    <row r="9" spans="1:9" ht="20" customHeight="1">
      <c r="A9" s="87"/>
      <c r="B9" s="316"/>
      <c r="C9" s="316"/>
      <c r="D9" s="317"/>
      <c r="E9" s="317"/>
      <c r="F9" s="317"/>
      <c r="G9" s="317"/>
      <c r="H9" s="403"/>
      <c r="I9" s="111" t="s">
        <v>17</v>
      </c>
    </row>
    <row r="10" spans="1:9" ht="20" customHeight="1">
      <c r="A10" s="87" t="s">
        <v>18</v>
      </c>
      <c r="B10" s="317"/>
      <c r="C10" s="317"/>
      <c r="D10" s="272" t="s">
        <v>503</v>
      </c>
      <c r="E10" s="322" t="s">
        <v>483</v>
      </c>
      <c r="F10" s="322" t="s">
        <v>483</v>
      </c>
      <c r="G10" s="322" t="s">
        <v>483</v>
      </c>
      <c r="H10" s="403"/>
      <c r="I10" s="284" t="s">
        <v>534</v>
      </c>
    </row>
    <row r="11" spans="1:9" ht="20" customHeight="1">
      <c r="A11" s="87"/>
      <c r="B11" s="267" t="s">
        <v>483</v>
      </c>
      <c r="C11" s="267" t="s">
        <v>483</v>
      </c>
      <c r="D11" s="269" t="s">
        <v>504</v>
      </c>
      <c r="E11" s="324"/>
      <c r="F11" s="324"/>
      <c r="G11" s="324"/>
      <c r="H11" s="403"/>
      <c r="I11" s="113" t="s">
        <v>535</v>
      </c>
    </row>
    <row r="12" spans="1:9" ht="20" customHeight="1">
      <c r="A12" s="87" t="s">
        <v>23</v>
      </c>
      <c r="B12" s="266" t="s">
        <v>484</v>
      </c>
      <c r="C12" s="266" t="s">
        <v>484</v>
      </c>
      <c r="D12" s="271" t="s">
        <v>484</v>
      </c>
      <c r="E12" s="295" t="s">
        <v>518</v>
      </c>
      <c r="F12" s="295" t="s">
        <v>518</v>
      </c>
      <c r="G12" s="295" t="s">
        <v>522</v>
      </c>
      <c r="H12" s="403"/>
      <c r="I12" s="284" t="s">
        <v>537</v>
      </c>
    </row>
    <row r="13" spans="1:9" ht="20" customHeight="1">
      <c r="A13" s="87"/>
      <c r="B13" s="390" t="s">
        <v>485</v>
      </c>
      <c r="C13" s="391" t="s">
        <v>495</v>
      </c>
      <c r="D13" s="390" t="s">
        <v>505</v>
      </c>
      <c r="E13" s="321"/>
      <c r="F13" s="321"/>
      <c r="G13" s="321"/>
      <c r="H13" s="403"/>
      <c r="I13" s="112"/>
    </row>
    <row r="14" spans="1:9" ht="20" customHeight="1">
      <c r="A14" s="87" t="s">
        <v>28</v>
      </c>
      <c r="B14" s="320"/>
      <c r="C14" s="341"/>
      <c r="D14" s="320"/>
      <c r="E14" s="321"/>
      <c r="F14" s="321"/>
      <c r="G14" s="321"/>
      <c r="H14" s="403"/>
      <c r="I14" s="111" t="s">
        <v>29</v>
      </c>
    </row>
    <row r="15" spans="1:9" ht="20" customHeight="1">
      <c r="A15" s="87"/>
      <c r="B15" s="320"/>
      <c r="C15" s="341"/>
      <c r="D15" s="320"/>
      <c r="E15" s="321"/>
      <c r="F15" s="321"/>
      <c r="G15" s="321"/>
      <c r="H15" s="224" t="s">
        <v>483</v>
      </c>
      <c r="I15" s="273" t="s">
        <v>500</v>
      </c>
    </row>
    <row r="16" spans="1:9" ht="20" customHeight="1">
      <c r="A16" s="87" t="s">
        <v>31</v>
      </c>
      <c r="B16" s="320"/>
      <c r="C16" s="341"/>
      <c r="D16" s="320"/>
      <c r="E16" s="321"/>
      <c r="F16" s="321"/>
      <c r="G16" s="321"/>
      <c r="H16" s="402" t="s">
        <v>491</v>
      </c>
      <c r="I16" s="274" t="s">
        <v>501</v>
      </c>
    </row>
    <row r="17" spans="1:9" ht="20" customHeight="1">
      <c r="A17" s="87"/>
      <c r="B17" s="319"/>
      <c r="C17" s="342"/>
      <c r="D17" s="319"/>
      <c r="E17" s="296"/>
      <c r="F17" s="296"/>
      <c r="G17" s="296"/>
      <c r="H17" s="402"/>
      <c r="I17" s="275" t="s">
        <v>502</v>
      </c>
    </row>
    <row r="18" spans="1:9" ht="20" customHeight="1">
      <c r="A18" s="91" t="s">
        <v>34</v>
      </c>
      <c r="B18" s="395" t="s">
        <v>486</v>
      </c>
      <c r="C18" s="270" t="s">
        <v>486</v>
      </c>
      <c r="D18" s="270" t="s">
        <v>486</v>
      </c>
      <c r="E18" s="278" t="s">
        <v>486</v>
      </c>
      <c r="F18" s="278" t="s">
        <v>486</v>
      </c>
      <c r="G18" s="278" t="s">
        <v>486</v>
      </c>
      <c r="H18" s="402"/>
      <c r="I18" s="284" t="s">
        <v>531</v>
      </c>
    </row>
    <row r="19" spans="1:9" ht="20" customHeight="1">
      <c r="A19" s="87"/>
      <c r="B19" s="396"/>
      <c r="C19" s="394" t="s">
        <v>487</v>
      </c>
      <c r="D19" s="385" t="s">
        <v>506</v>
      </c>
      <c r="E19" s="384" t="s">
        <v>482</v>
      </c>
      <c r="F19" s="384" t="s">
        <v>482</v>
      </c>
      <c r="G19" s="384" t="s">
        <v>482</v>
      </c>
      <c r="H19" s="401" t="s">
        <v>528</v>
      </c>
      <c r="I19" s="114"/>
    </row>
    <row r="20" spans="1:9" ht="20" customHeight="1">
      <c r="A20" s="87" t="s">
        <v>37</v>
      </c>
      <c r="B20" s="267" t="s">
        <v>487</v>
      </c>
      <c r="C20" s="394"/>
      <c r="D20" s="351"/>
      <c r="E20" s="326"/>
      <c r="F20" s="326"/>
      <c r="G20" s="326"/>
      <c r="H20" s="401"/>
      <c r="I20" s="114"/>
    </row>
    <row r="21" spans="1:9" ht="20" customHeight="1">
      <c r="A21" s="87"/>
      <c r="B21" s="268" t="s">
        <v>488</v>
      </c>
      <c r="C21" s="268" t="s">
        <v>488</v>
      </c>
      <c r="D21" s="268" t="s">
        <v>488</v>
      </c>
      <c r="E21" s="327"/>
      <c r="F21" s="327"/>
      <c r="G21" s="327"/>
      <c r="H21" s="401"/>
      <c r="I21" s="112"/>
    </row>
    <row r="22" spans="1:9" ht="20" customHeight="1">
      <c r="A22" s="87" t="s">
        <v>40</v>
      </c>
      <c r="B22" s="390" t="s">
        <v>489</v>
      </c>
      <c r="C22" s="392" t="s">
        <v>496</v>
      </c>
      <c r="D22" s="386" t="s">
        <v>507</v>
      </c>
      <c r="E22" s="322" t="s">
        <v>519</v>
      </c>
      <c r="F22" s="295" t="s">
        <v>521</v>
      </c>
      <c r="G22" s="301" t="s">
        <v>523</v>
      </c>
      <c r="H22" s="401"/>
      <c r="I22" s="111" t="s">
        <v>42</v>
      </c>
    </row>
    <row r="23" spans="1:9" ht="20" customHeight="1">
      <c r="A23" s="87"/>
      <c r="B23" s="320"/>
      <c r="C23" s="393"/>
      <c r="D23" s="321"/>
      <c r="E23" s="323"/>
      <c r="F23" s="321"/>
      <c r="G23" s="302"/>
      <c r="H23" s="404" t="s">
        <v>527</v>
      </c>
      <c r="I23" s="284" t="s">
        <v>532</v>
      </c>
    </row>
    <row r="24" spans="1:9" ht="20" customHeight="1">
      <c r="A24" s="87" t="s">
        <v>44</v>
      </c>
      <c r="B24" s="320"/>
      <c r="C24" s="393"/>
      <c r="D24" s="321"/>
      <c r="E24" s="323"/>
      <c r="F24" s="321"/>
      <c r="G24" s="302"/>
      <c r="H24" s="404"/>
      <c r="I24" s="284" t="s">
        <v>536</v>
      </c>
    </row>
    <row r="25" spans="1:9" ht="20" customHeight="1">
      <c r="A25" s="87"/>
      <c r="B25" s="320"/>
      <c r="C25" s="393"/>
      <c r="D25" s="321"/>
      <c r="E25" s="323"/>
      <c r="F25" s="321"/>
      <c r="G25" s="302"/>
      <c r="H25" s="402" t="s">
        <v>529</v>
      </c>
      <c r="I25" s="112"/>
    </row>
    <row r="26" spans="1:9" ht="20" customHeight="1">
      <c r="A26" s="87" t="s">
        <v>45</v>
      </c>
      <c r="B26" s="320"/>
      <c r="C26" s="393"/>
      <c r="D26" s="321"/>
      <c r="E26" s="323"/>
      <c r="F26" s="321"/>
      <c r="G26" s="302"/>
      <c r="H26" s="402"/>
      <c r="I26" s="114"/>
    </row>
    <row r="27" spans="1:9" ht="20" customHeight="1">
      <c r="A27" s="87"/>
      <c r="B27" s="320"/>
      <c r="C27" s="393"/>
      <c r="D27" s="321"/>
      <c r="E27" s="323"/>
      <c r="F27" s="321"/>
      <c r="G27" s="302"/>
      <c r="H27" s="402"/>
      <c r="I27" s="112"/>
    </row>
    <row r="28" spans="1:9" ht="20" customHeight="1">
      <c r="A28" s="87" t="s">
        <v>46</v>
      </c>
      <c r="B28" s="320"/>
      <c r="C28" s="393"/>
      <c r="D28" s="321"/>
      <c r="E28" s="323"/>
      <c r="F28" s="321"/>
      <c r="G28" s="302"/>
      <c r="H28" s="402"/>
      <c r="I28" s="112"/>
    </row>
    <row r="29" spans="1:9" ht="20" customHeight="1">
      <c r="A29" s="87"/>
      <c r="B29" s="319"/>
      <c r="C29" s="393"/>
      <c r="D29" s="296"/>
      <c r="E29" s="323"/>
      <c r="F29" s="321"/>
      <c r="G29" s="302"/>
      <c r="H29" s="401" t="s">
        <v>524</v>
      </c>
      <c r="I29" s="112"/>
    </row>
    <row r="30" spans="1:9" ht="20" customHeight="1">
      <c r="A30" s="87" t="s">
        <v>47</v>
      </c>
      <c r="B30" s="271" t="s">
        <v>490</v>
      </c>
      <c r="C30" s="266" t="s">
        <v>490</v>
      </c>
      <c r="D30" s="271" t="s">
        <v>490</v>
      </c>
      <c r="E30" s="323"/>
      <c r="F30" s="321"/>
      <c r="G30" s="303"/>
      <c r="H30" s="401"/>
      <c r="I30" s="115"/>
    </row>
    <row r="31" spans="1:9" ht="20" customHeight="1">
      <c r="A31" s="91"/>
      <c r="B31" s="267" t="s">
        <v>491</v>
      </c>
      <c r="C31" s="395" t="s">
        <v>497</v>
      </c>
      <c r="D31" s="276" t="s">
        <v>508</v>
      </c>
      <c r="E31" s="323"/>
      <c r="F31" s="321"/>
      <c r="G31" s="322" t="s">
        <v>524</v>
      </c>
      <c r="H31" s="401"/>
      <c r="I31" s="115"/>
    </row>
    <row r="32" spans="1:9" ht="20" customHeight="1">
      <c r="A32" s="87" t="s">
        <v>50</v>
      </c>
      <c r="B32" s="390" t="s">
        <v>492</v>
      </c>
      <c r="C32" s="396"/>
      <c r="D32" s="277" t="s">
        <v>497</v>
      </c>
      <c r="E32" s="323"/>
      <c r="F32" s="321"/>
      <c r="G32" s="323"/>
      <c r="H32" s="401"/>
      <c r="I32" s="115"/>
    </row>
    <row r="33" spans="1:9" ht="20" customHeight="1">
      <c r="A33" s="87"/>
      <c r="B33" s="319"/>
      <c r="C33" s="398" t="s">
        <v>498</v>
      </c>
      <c r="D33" s="387" t="s">
        <v>498</v>
      </c>
      <c r="E33" s="323"/>
      <c r="F33" s="321"/>
      <c r="G33" s="323"/>
      <c r="H33" s="401"/>
      <c r="I33" s="115"/>
    </row>
    <row r="34" spans="1:9" ht="20" customHeight="1">
      <c r="A34" s="87" t="s">
        <v>53</v>
      </c>
      <c r="B34" s="395" t="s">
        <v>493</v>
      </c>
      <c r="C34" s="399"/>
      <c r="D34" s="302"/>
      <c r="E34" s="323"/>
      <c r="F34" s="321"/>
      <c r="G34" s="324"/>
      <c r="H34" s="401"/>
      <c r="I34" s="115"/>
    </row>
    <row r="35" spans="1:9" ht="20" customHeight="1">
      <c r="A35" s="87"/>
      <c r="B35" s="397"/>
      <c r="C35" s="399"/>
      <c r="D35" s="302"/>
      <c r="E35" s="324"/>
      <c r="F35" s="296"/>
      <c r="G35" s="295" t="s">
        <v>525</v>
      </c>
      <c r="H35" s="401"/>
      <c r="I35" s="111" t="s">
        <v>54</v>
      </c>
    </row>
    <row r="36" spans="1:9" ht="20" customHeight="1">
      <c r="A36" s="87" t="s">
        <v>55</v>
      </c>
      <c r="B36" s="397"/>
      <c r="C36" s="400"/>
      <c r="D36" s="302"/>
      <c r="E36" s="322" t="s">
        <v>520</v>
      </c>
      <c r="F36" s="322" t="s">
        <v>520</v>
      </c>
      <c r="G36" s="321"/>
      <c r="H36" s="401"/>
      <c r="I36" s="113" t="s">
        <v>533</v>
      </c>
    </row>
    <row r="37" spans="1:9" ht="20" customHeight="1">
      <c r="A37" s="87"/>
      <c r="B37" s="397"/>
      <c r="C37" s="395" t="s">
        <v>499</v>
      </c>
      <c r="D37" s="303"/>
      <c r="E37" s="323"/>
      <c r="F37" s="323"/>
      <c r="G37" s="321"/>
      <c r="H37" s="402" t="s">
        <v>530</v>
      </c>
      <c r="I37" s="112"/>
    </row>
    <row r="38" spans="1:9" ht="20" customHeight="1">
      <c r="A38" s="87" t="s">
        <v>56</v>
      </c>
      <c r="B38" s="397"/>
      <c r="C38" s="397"/>
      <c r="D38" s="386" t="s">
        <v>509</v>
      </c>
      <c r="E38" s="323"/>
      <c r="F38" s="323"/>
      <c r="G38" s="321"/>
      <c r="H38" s="402"/>
      <c r="I38" s="114"/>
    </row>
    <row r="39" spans="1:9" ht="20" customHeight="1">
      <c r="A39" s="87"/>
      <c r="B39" s="396"/>
      <c r="C39" s="396"/>
      <c r="D39" s="388"/>
      <c r="E39" s="323"/>
      <c r="F39" s="323"/>
      <c r="G39" s="321"/>
      <c r="H39" s="402"/>
      <c r="I39" s="111"/>
    </row>
    <row r="40" spans="1:9" ht="20" customHeight="1">
      <c r="A40" s="87" t="s">
        <v>60</v>
      </c>
      <c r="B40" s="267" t="s">
        <v>494</v>
      </c>
      <c r="C40" s="269" t="s">
        <v>494</v>
      </c>
      <c r="D40" s="271" t="s">
        <v>510</v>
      </c>
      <c r="E40" s="323"/>
      <c r="F40" s="323"/>
      <c r="G40" s="296"/>
      <c r="H40" s="283" t="s">
        <v>526</v>
      </c>
      <c r="I40" s="113"/>
    </row>
    <row r="41" spans="1:9" ht="20" customHeight="1">
      <c r="A41" s="87"/>
      <c r="B41" s="267" t="s">
        <v>487</v>
      </c>
      <c r="C41" s="269" t="s">
        <v>487</v>
      </c>
      <c r="D41" s="389" t="s">
        <v>482</v>
      </c>
      <c r="E41" s="324"/>
      <c r="F41" s="324"/>
      <c r="G41" s="283" t="s">
        <v>526</v>
      </c>
      <c r="H41" s="297" t="s">
        <v>9</v>
      </c>
      <c r="I41" s="114"/>
    </row>
    <row r="42" spans="1:9" ht="20" customHeight="1">
      <c r="A42" s="87" t="s">
        <v>62</v>
      </c>
      <c r="B42" s="381" t="s">
        <v>482</v>
      </c>
      <c r="C42" s="381" t="s">
        <v>482</v>
      </c>
      <c r="D42" s="298"/>
      <c r="E42" s="381" t="s">
        <v>482</v>
      </c>
      <c r="F42" s="381" t="s">
        <v>482</v>
      </c>
      <c r="G42" s="381" t="s">
        <v>482</v>
      </c>
      <c r="H42" s="298"/>
      <c r="I42" s="114"/>
    </row>
    <row r="43" spans="1:9" ht="20" customHeight="1">
      <c r="A43" s="87"/>
      <c r="B43" s="316"/>
      <c r="C43" s="382"/>
      <c r="D43" s="298"/>
      <c r="E43" s="382"/>
      <c r="F43" s="382"/>
      <c r="G43" s="382"/>
      <c r="H43" s="298"/>
      <c r="I43" s="112"/>
    </row>
    <row r="44" spans="1:9" ht="20" customHeight="1">
      <c r="A44" s="87" t="s">
        <v>63</v>
      </c>
      <c r="B44" s="316"/>
      <c r="C44" s="382"/>
      <c r="D44" s="298"/>
      <c r="E44" s="382"/>
      <c r="F44" s="382"/>
      <c r="G44" s="382"/>
      <c r="H44" s="298"/>
      <c r="I44" s="112"/>
    </row>
    <row r="45" spans="1:9" ht="20" customHeight="1">
      <c r="A45" s="87"/>
      <c r="B45" s="316"/>
      <c r="C45" s="382"/>
      <c r="D45" s="298"/>
      <c r="E45" s="382"/>
      <c r="F45" s="382"/>
      <c r="G45" s="382"/>
      <c r="H45" s="298"/>
      <c r="I45" s="112"/>
    </row>
    <row r="46" spans="1:9" ht="20" customHeight="1">
      <c r="A46" s="87" t="s">
        <v>64</v>
      </c>
      <c r="B46" s="316"/>
      <c r="C46" s="382"/>
      <c r="D46" s="298"/>
      <c r="E46" s="382"/>
      <c r="F46" s="382"/>
      <c r="G46" s="382"/>
      <c r="H46" s="298"/>
      <c r="I46" s="111" t="s">
        <v>65</v>
      </c>
    </row>
    <row r="47" spans="1:9" ht="20" customHeight="1">
      <c r="A47" s="87"/>
      <c r="B47" s="316"/>
      <c r="C47" s="382"/>
      <c r="D47" s="298"/>
      <c r="E47" s="382"/>
      <c r="F47" s="382"/>
      <c r="G47" s="382"/>
      <c r="H47" s="298"/>
      <c r="I47" s="116"/>
    </row>
    <row r="48" spans="1:9" ht="20" customHeight="1">
      <c r="A48" s="87" t="s">
        <v>66</v>
      </c>
      <c r="B48" s="316"/>
      <c r="C48" s="382"/>
      <c r="D48" s="298"/>
      <c r="E48" s="382"/>
      <c r="F48" s="382"/>
      <c r="G48" s="382"/>
      <c r="H48" s="298"/>
      <c r="I48" s="114"/>
    </row>
    <row r="49" spans="1:14" ht="20" customHeight="1">
      <c r="A49" s="87"/>
      <c r="B49" s="316"/>
      <c r="C49" s="382"/>
      <c r="D49" s="298"/>
      <c r="E49" s="382"/>
      <c r="F49" s="382"/>
      <c r="G49" s="382"/>
      <c r="H49" s="298"/>
      <c r="I49" s="114"/>
    </row>
    <row r="50" spans="1:14" ht="20" customHeight="1">
      <c r="A50" s="87" t="s">
        <v>67</v>
      </c>
      <c r="B50" s="317"/>
      <c r="C50" s="383"/>
      <c r="D50" s="299"/>
      <c r="E50" s="383"/>
      <c r="F50" s="383"/>
      <c r="G50" s="383"/>
      <c r="H50" s="299"/>
      <c r="I50" s="112"/>
    </row>
    <row r="51" spans="1:14" ht="20" customHeight="1">
      <c r="A51" s="97" t="s">
        <v>68</v>
      </c>
      <c r="B51" s="98">
        <f t="shared" ref="B51:H55" si="0">GetColorCount(B$2:B$50,$A51)*0.5</f>
        <v>6.5</v>
      </c>
      <c r="C51" s="98">
        <f t="shared" si="0"/>
        <v>4.5</v>
      </c>
      <c r="D51" s="98">
        <f t="shared" si="0"/>
        <v>1.5</v>
      </c>
      <c r="E51" s="98">
        <f t="shared" si="0"/>
        <v>13</v>
      </c>
      <c r="F51" s="98">
        <f t="shared" si="0"/>
        <v>6</v>
      </c>
      <c r="G51" s="98">
        <f t="shared" si="0"/>
        <v>5.5</v>
      </c>
      <c r="H51" s="98">
        <f t="shared" si="0"/>
        <v>7</v>
      </c>
      <c r="I51" s="117" t="s">
        <v>123</v>
      </c>
    </row>
    <row r="52" spans="1:14" ht="20" customHeight="1">
      <c r="A52" s="99" t="s">
        <v>9</v>
      </c>
      <c r="B52" s="98">
        <f t="shared" si="0"/>
        <v>9</v>
      </c>
      <c r="C52" s="98">
        <f t="shared" si="0"/>
        <v>9</v>
      </c>
      <c r="D52" s="98">
        <f t="shared" si="0"/>
        <v>9</v>
      </c>
      <c r="E52" s="98">
        <f t="shared" si="0"/>
        <v>8</v>
      </c>
      <c r="F52" s="98">
        <f t="shared" si="0"/>
        <v>8</v>
      </c>
      <c r="G52" s="98">
        <f t="shared" si="0"/>
        <v>8</v>
      </c>
      <c r="H52" s="98">
        <f t="shared" si="0"/>
        <v>11</v>
      </c>
      <c r="I52" s="118"/>
    </row>
    <row r="53" spans="1:14" ht="20" customHeight="1">
      <c r="A53" s="100" t="s">
        <v>71</v>
      </c>
      <c r="B53" s="98">
        <f t="shared" si="0"/>
        <v>8.5</v>
      </c>
      <c r="C53" s="98">
        <f t="shared" si="0"/>
        <v>8.5</v>
      </c>
      <c r="D53" s="98">
        <f t="shared" si="0"/>
        <v>9.5</v>
      </c>
      <c r="E53" s="98">
        <f t="shared" si="0"/>
        <v>3</v>
      </c>
      <c r="F53" s="98">
        <f t="shared" si="0"/>
        <v>10</v>
      </c>
      <c r="G53" s="98">
        <f t="shared" si="0"/>
        <v>6</v>
      </c>
      <c r="H53" s="98">
        <f t="shared" si="0"/>
        <v>4</v>
      </c>
      <c r="I53" s="110"/>
    </row>
    <row r="54" spans="1:14" ht="20" customHeight="1">
      <c r="A54" s="101" t="s">
        <v>72</v>
      </c>
      <c r="B54" s="98">
        <f t="shared" si="0"/>
        <v>0</v>
      </c>
      <c r="C54" s="98">
        <f t="shared" si="0"/>
        <v>0</v>
      </c>
      <c r="D54" s="98">
        <f t="shared" si="0"/>
        <v>1</v>
      </c>
      <c r="E54" s="98">
        <f t="shared" si="0"/>
        <v>0</v>
      </c>
      <c r="F54" s="98">
        <f t="shared" si="0"/>
        <v>0</v>
      </c>
      <c r="G54" s="98">
        <f t="shared" si="0"/>
        <v>0</v>
      </c>
      <c r="H54" s="98">
        <f t="shared" si="0"/>
        <v>0</v>
      </c>
      <c r="I54" s="119"/>
    </row>
    <row r="55" spans="1:14" ht="20" customHeight="1">
      <c r="A55" s="102" t="s">
        <v>73</v>
      </c>
      <c r="B55" s="98">
        <f t="shared" si="0"/>
        <v>0</v>
      </c>
      <c r="C55" s="98">
        <f t="shared" si="0"/>
        <v>2</v>
      </c>
      <c r="D55" s="98">
        <f t="shared" si="0"/>
        <v>3</v>
      </c>
      <c r="E55" s="98">
        <f t="shared" si="0"/>
        <v>0</v>
      </c>
      <c r="F55" s="98">
        <f t="shared" si="0"/>
        <v>0</v>
      </c>
      <c r="G55" s="98">
        <f t="shared" si="0"/>
        <v>4.5</v>
      </c>
      <c r="H55" s="98">
        <f t="shared" si="0"/>
        <v>1</v>
      </c>
      <c r="I55" s="119"/>
    </row>
    <row r="56" spans="1:14" s="82" customFormat="1" ht="20" customHeight="1">
      <c r="A56" s="103" t="s">
        <v>74</v>
      </c>
      <c r="B56" s="104">
        <f>SUM(B51:B55)</f>
        <v>24</v>
      </c>
      <c r="C56" s="104">
        <f t="shared" ref="C56:H56" si="1">SUM(C51:C55)</f>
        <v>24</v>
      </c>
      <c r="D56" s="104">
        <f t="shared" si="1"/>
        <v>24</v>
      </c>
      <c r="E56" s="104">
        <f t="shared" si="1"/>
        <v>24</v>
      </c>
      <c r="F56" s="104">
        <f t="shared" si="1"/>
        <v>24</v>
      </c>
      <c r="G56" s="104">
        <f t="shared" si="1"/>
        <v>24</v>
      </c>
      <c r="H56" s="104">
        <f t="shared" si="1"/>
        <v>23</v>
      </c>
      <c r="I56" s="120"/>
    </row>
    <row r="57" spans="1:14" ht="20" customHeight="1">
      <c r="A57" s="311" t="s">
        <v>68</v>
      </c>
      <c r="B57" s="312" t="s">
        <v>9</v>
      </c>
      <c r="C57" s="300" t="s">
        <v>75</v>
      </c>
      <c r="D57" s="307" t="s">
        <v>76</v>
      </c>
      <c r="E57" s="313" t="s">
        <v>77</v>
      </c>
      <c r="F57" s="352" t="s">
        <v>78</v>
      </c>
      <c r="G57" s="109"/>
      <c r="H57" s="109"/>
      <c r="I57" s="117" t="s">
        <v>108</v>
      </c>
    </row>
    <row r="58" spans="1:14" s="81" customFormat="1" ht="20" customHeight="1">
      <c r="A58" s="311"/>
      <c r="B58" s="312"/>
      <c r="C58" s="300"/>
      <c r="D58" s="308"/>
      <c r="E58" s="313"/>
      <c r="F58" s="352"/>
      <c r="G58" s="109"/>
      <c r="H58" s="109"/>
      <c r="I58" s="121"/>
    </row>
    <row r="59" spans="1:14" s="81" customFormat="1" ht="20" customHeight="1">
      <c r="A59" s="311"/>
      <c r="B59" s="312"/>
      <c r="C59" s="300"/>
      <c r="D59" s="308"/>
      <c r="E59" s="313"/>
      <c r="F59" s="352"/>
      <c r="G59" s="109"/>
      <c r="H59" s="109"/>
      <c r="I59" s="95"/>
    </row>
    <row r="60" spans="1:14" s="81" customFormat="1" ht="20" customHeight="1">
      <c r="A60" s="106">
        <f>SUM(B51:H51)</f>
        <v>44</v>
      </c>
      <c r="B60" s="106">
        <f>SUM(B52:H52)</f>
        <v>62</v>
      </c>
      <c r="C60" s="106">
        <f>SUM(B53:H53)</f>
        <v>49.5</v>
      </c>
      <c r="D60" s="106">
        <f>SUM(B54:H54)</f>
        <v>1</v>
      </c>
      <c r="E60" s="106">
        <f>SUM(B55:H55)</f>
        <v>10.5</v>
      </c>
      <c r="F60" s="106">
        <f>SUM(B56:H56)</f>
        <v>167</v>
      </c>
      <c r="G60" s="83"/>
      <c r="H60" s="83"/>
      <c r="I60" s="95"/>
    </row>
    <row r="61" spans="1:14" ht="20" customHeight="1">
      <c r="A61" s="107">
        <f>A60/7</f>
        <v>6.2857142857142856</v>
      </c>
      <c r="B61" s="107">
        <f>B60/7</f>
        <v>8.8571428571428577</v>
      </c>
      <c r="C61" s="107">
        <f>C60/7</f>
        <v>7.0714285714285712</v>
      </c>
      <c r="D61" s="107">
        <f>D60/7</f>
        <v>0.14285714285714285</v>
      </c>
      <c r="E61" s="106">
        <f>E60/7</f>
        <v>1.5</v>
      </c>
      <c r="F61" s="107"/>
      <c r="I61" s="122"/>
    </row>
    <row r="62" spans="1:14" ht="20" customHeight="1">
      <c r="I62" s="80"/>
    </row>
    <row r="63" spans="1:14" ht="20" customHeight="1">
      <c r="I63" s="310"/>
      <c r="J63" s="310"/>
      <c r="K63" s="310"/>
      <c r="L63" s="310"/>
      <c r="M63" s="310"/>
      <c r="N63" s="310"/>
    </row>
    <row r="65" spans="6:9" ht="20" customHeight="1">
      <c r="H65" s="123"/>
      <c r="I65" s="126"/>
    </row>
    <row r="66" spans="6:9" ht="20" customHeight="1">
      <c r="H66" s="124"/>
      <c r="I66" s="126"/>
    </row>
    <row r="67" spans="6:9" ht="20" customHeight="1">
      <c r="H67" s="123"/>
      <c r="I67" s="126"/>
    </row>
    <row r="68" spans="6:9" ht="20" customHeight="1">
      <c r="H68" s="123"/>
      <c r="I68" s="126"/>
    </row>
    <row r="69" spans="6:9" ht="20" customHeight="1">
      <c r="H69" s="123"/>
      <c r="I69" s="126"/>
    </row>
    <row r="73" spans="6:9" ht="20" customHeight="1">
      <c r="F73" s="125"/>
    </row>
    <row r="90" spans="9:9" ht="20" customHeight="1">
      <c r="I90" s="80"/>
    </row>
    <row r="91" spans="9:9" ht="20" customHeight="1">
      <c r="I91" s="80"/>
    </row>
    <row r="92" spans="9:9" ht="20" customHeight="1">
      <c r="I92" s="80"/>
    </row>
    <row r="93" spans="9:9" ht="20" customHeight="1">
      <c r="I93" s="80"/>
    </row>
    <row r="94" spans="9:9" ht="20" customHeight="1">
      <c r="I94" s="80"/>
    </row>
    <row r="95" spans="9:9" ht="20" customHeight="1">
      <c r="I95" s="80"/>
    </row>
    <row r="96" spans="9:9" ht="20" customHeight="1">
      <c r="I96" s="80"/>
    </row>
    <row r="97" spans="9:9" ht="20" customHeight="1">
      <c r="I97" s="80"/>
    </row>
  </sheetData>
  <mergeCells count="59">
    <mergeCell ref="H41:H50"/>
    <mergeCell ref="H29:H36"/>
    <mergeCell ref="H37:H39"/>
    <mergeCell ref="H16:H18"/>
    <mergeCell ref="H3:H14"/>
    <mergeCell ref="H19:H22"/>
    <mergeCell ref="H23:H24"/>
    <mergeCell ref="H25:H28"/>
    <mergeCell ref="I63:N63"/>
    <mergeCell ref="B3:B10"/>
    <mergeCell ref="B13:B17"/>
    <mergeCell ref="B18:B19"/>
    <mergeCell ref="B22:B29"/>
    <mergeCell ref="B32:B33"/>
    <mergeCell ref="B34:B39"/>
    <mergeCell ref="B42:B50"/>
    <mergeCell ref="C3:C10"/>
    <mergeCell ref="F57:F59"/>
    <mergeCell ref="D3:D9"/>
    <mergeCell ref="C31:C32"/>
    <mergeCell ref="C33:C36"/>
    <mergeCell ref="G35:G40"/>
    <mergeCell ref="G42:G50"/>
    <mergeCell ref="C37:C39"/>
    <mergeCell ref="C42:C50"/>
    <mergeCell ref="D13:D17"/>
    <mergeCell ref="A57:A59"/>
    <mergeCell ref="B57:B59"/>
    <mergeCell ref="C57:C59"/>
    <mergeCell ref="D57:D59"/>
    <mergeCell ref="C13:C17"/>
    <mergeCell ref="C22:C29"/>
    <mergeCell ref="C19:C20"/>
    <mergeCell ref="E57:E59"/>
    <mergeCell ref="D19:D20"/>
    <mergeCell ref="D22:D29"/>
    <mergeCell ref="D33:D37"/>
    <mergeCell ref="D38:D39"/>
    <mergeCell ref="D41:D50"/>
    <mergeCell ref="E36:E41"/>
    <mergeCell ref="E42:E50"/>
    <mergeCell ref="E3:E9"/>
    <mergeCell ref="E10:E11"/>
    <mergeCell ref="E12:E17"/>
    <mergeCell ref="E19:E21"/>
    <mergeCell ref="E22:E35"/>
    <mergeCell ref="F36:F41"/>
    <mergeCell ref="F42:F50"/>
    <mergeCell ref="G3:G9"/>
    <mergeCell ref="G10:G11"/>
    <mergeCell ref="G12:G17"/>
    <mergeCell ref="G19:G21"/>
    <mergeCell ref="G22:G30"/>
    <mergeCell ref="G31:G34"/>
    <mergeCell ref="F3:F9"/>
    <mergeCell ref="F10:F11"/>
    <mergeCell ref="F12:F17"/>
    <mergeCell ref="F19:F21"/>
    <mergeCell ref="F22:F35"/>
  </mergeCells>
  <phoneticPr fontId="3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AE28-DBA7-8644-91BA-CE7E2D5CFB27}">
  <dimension ref="A1:N97"/>
  <sheetViews>
    <sheetView showGridLines="0" workbookViewId="0">
      <selection activeCell="F32" sqref="F32"/>
    </sheetView>
  </sheetViews>
  <sheetFormatPr baseColWidth="10" defaultColWidth="20.83203125" defaultRowHeight="15"/>
  <cols>
    <col min="1" max="1" width="14.6640625" style="81" customWidth="1"/>
    <col min="2" max="2" width="16.1640625" style="83" customWidth="1"/>
    <col min="3" max="3" width="16.83203125" style="83" customWidth="1"/>
    <col min="4" max="4" width="17.6640625" style="83" customWidth="1"/>
    <col min="5" max="5" width="17" style="83" customWidth="1"/>
    <col min="6" max="6" width="18.33203125" style="83" customWidth="1"/>
    <col min="7" max="7" width="17.6640625" style="83" customWidth="1"/>
    <col min="8" max="8" width="17.83203125" style="83" customWidth="1"/>
    <col min="9" max="9" width="104" style="281"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v>44606</v>
      </c>
      <c r="C2" s="88">
        <v>44607</v>
      </c>
      <c r="D2" s="88">
        <v>44608</v>
      </c>
      <c r="E2" s="88">
        <v>44609</v>
      </c>
      <c r="F2" s="88">
        <v>44610</v>
      </c>
      <c r="G2" s="88">
        <v>44611</v>
      </c>
      <c r="H2" s="88">
        <v>44612</v>
      </c>
      <c r="I2" s="111" t="s">
        <v>7</v>
      </c>
    </row>
    <row r="3" spans="1:9" ht="20" customHeight="1">
      <c r="A3" s="87" t="s">
        <v>8</v>
      </c>
      <c r="B3" s="406" t="s">
        <v>539</v>
      </c>
      <c r="C3" s="406" t="s">
        <v>539</v>
      </c>
      <c r="D3" s="315" t="s">
        <v>9</v>
      </c>
      <c r="E3" s="88"/>
      <c r="F3" s="94"/>
      <c r="G3" s="94"/>
      <c r="H3" s="94"/>
      <c r="I3" s="112"/>
    </row>
    <row r="4" spans="1:9" ht="20" customHeight="1">
      <c r="A4" s="87" t="s">
        <v>11</v>
      </c>
      <c r="B4" s="316"/>
      <c r="C4" s="316"/>
      <c r="D4" s="316"/>
      <c r="E4" s="88"/>
      <c r="F4" s="94"/>
      <c r="G4" s="94"/>
      <c r="H4" s="94"/>
      <c r="I4" s="112"/>
    </row>
    <row r="5" spans="1:9" ht="20" customHeight="1">
      <c r="A5" s="87"/>
      <c r="B5" s="316"/>
      <c r="C5" s="316"/>
      <c r="D5" s="316"/>
      <c r="E5" s="88"/>
      <c r="F5" s="94"/>
      <c r="G5" s="94"/>
      <c r="H5" s="94"/>
      <c r="I5" s="112"/>
    </row>
    <row r="6" spans="1:9" ht="20" customHeight="1">
      <c r="A6" s="87" t="s">
        <v>13</v>
      </c>
      <c r="B6" s="316"/>
      <c r="C6" s="316"/>
      <c r="D6" s="316"/>
      <c r="E6" s="88"/>
      <c r="F6" s="94"/>
      <c r="G6" s="94"/>
      <c r="H6" s="94"/>
      <c r="I6" s="112"/>
    </row>
    <row r="7" spans="1:9" ht="20" customHeight="1">
      <c r="A7" s="87"/>
      <c r="B7" s="316"/>
      <c r="C7" s="316"/>
      <c r="D7" s="316"/>
      <c r="E7" s="88"/>
      <c r="F7" s="94"/>
      <c r="G7" s="94"/>
      <c r="H7" s="94"/>
      <c r="I7" s="112"/>
    </row>
    <row r="8" spans="1:9" ht="20" customHeight="1">
      <c r="A8" s="87" t="s">
        <v>14</v>
      </c>
      <c r="B8" s="316"/>
      <c r="C8" s="316"/>
      <c r="D8" s="316"/>
      <c r="E8" s="88"/>
      <c r="F8" s="94"/>
      <c r="G8" s="94"/>
      <c r="H8" s="94"/>
      <c r="I8" s="112"/>
    </row>
    <row r="9" spans="1:9" ht="20" customHeight="1">
      <c r="A9" s="87"/>
      <c r="B9" s="317"/>
      <c r="C9" s="317"/>
      <c r="D9" s="316"/>
      <c r="E9" s="94"/>
      <c r="F9" s="94"/>
      <c r="G9" s="94"/>
      <c r="H9" s="94"/>
      <c r="I9" s="111" t="s">
        <v>17</v>
      </c>
    </row>
    <row r="10" spans="1:9" ht="20" customHeight="1">
      <c r="A10" s="87" t="s">
        <v>18</v>
      </c>
      <c r="B10" s="288" t="s">
        <v>540</v>
      </c>
      <c r="C10" s="283" t="s">
        <v>565</v>
      </c>
      <c r="D10" s="317"/>
      <c r="E10" s="94"/>
      <c r="F10" s="94"/>
      <c r="G10" s="94"/>
      <c r="H10" s="94"/>
      <c r="I10" s="112"/>
    </row>
    <row r="11" spans="1:9" ht="20" customHeight="1">
      <c r="A11" s="87"/>
      <c r="B11" s="283" t="s">
        <v>547</v>
      </c>
      <c r="C11" s="287" t="s">
        <v>549</v>
      </c>
      <c r="D11" s="287" t="s">
        <v>549</v>
      </c>
      <c r="E11" s="94"/>
      <c r="F11" s="94"/>
      <c r="G11" s="94"/>
      <c r="H11" s="94"/>
      <c r="I11" s="113"/>
    </row>
    <row r="12" spans="1:9" ht="20" customHeight="1">
      <c r="A12" s="87" t="s">
        <v>23</v>
      </c>
      <c r="B12" s="282" t="s">
        <v>549</v>
      </c>
      <c r="C12" s="405" t="s">
        <v>566</v>
      </c>
      <c r="D12" s="405" t="s">
        <v>570</v>
      </c>
      <c r="E12" s="94"/>
      <c r="F12" s="94"/>
      <c r="G12" s="94"/>
      <c r="H12" s="94"/>
      <c r="I12" s="112"/>
    </row>
    <row r="13" spans="1:9" ht="20" customHeight="1">
      <c r="A13" s="87"/>
      <c r="B13" s="407" t="s">
        <v>548</v>
      </c>
      <c r="C13" s="320"/>
      <c r="D13" s="320"/>
      <c r="E13" s="94"/>
      <c r="F13" s="94"/>
      <c r="G13" s="94"/>
      <c r="H13" s="94"/>
      <c r="I13" s="112"/>
    </row>
    <row r="14" spans="1:9" ht="20" customHeight="1">
      <c r="A14" s="87" t="s">
        <v>28</v>
      </c>
      <c r="B14" s="407"/>
      <c r="C14" s="320"/>
      <c r="D14" s="320"/>
      <c r="E14" s="94"/>
      <c r="F14" s="94"/>
      <c r="G14" s="94"/>
      <c r="H14" s="94"/>
      <c r="I14" s="111" t="s">
        <v>29</v>
      </c>
    </row>
    <row r="15" spans="1:9" ht="20" customHeight="1">
      <c r="A15" s="87"/>
      <c r="B15" s="407"/>
      <c r="C15" s="320"/>
      <c r="D15" s="320"/>
      <c r="E15" s="94"/>
      <c r="F15" s="94"/>
      <c r="G15" s="94"/>
      <c r="H15" s="94"/>
      <c r="I15" s="285" t="s">
        <v>538</v>
      </c>
    </row>
    <row r="16" spans="1:9" ht="20" customHeight="1">
      <c r="A16" s="87" t="s">
        <v>31</v>
      </c>
      <c r="B16" s="407"/>
      <c r="C16" s="320"/>
      <c r="D16" s="320"/>
      <c r="E16" s="94"/>
      <c r="F16" s="94"/>
      <c r="G16" s="94"/>
      <c r="H16" s="94"/>
      <c r="I16" s="113" t="s">
        <v>563</v>
      </c>
    </row>
    <row r="17" spans="1:9" ht="20" customHeight="1">
      <c r="A17" s="87"/>
      <c r="B17" s="408"/>
      <c r="C17" s="319"/>
      <c r="D17" s="319"/>
      <c r="E17" s="94"/>
      <c r="F17" s="94"/>
      <c r="G17" s="94"/>
      <c r="H17" s="94"/>
      <c r="I17" s="112"/>
    </row>
    <row r="18" spans="1:9" ht="20" customHeight="1">
      <c r="A18" s="91" t="s">
        <v>34</v>
      </c>
      <c r="B18" s="283" t="s">
        <v>550</v>
      </c>
      <c r="C18" s="283" t="s">
        <v>550</v>
      </c>
      <c r="D18" s="283" t="s">
        <v>550</v>
      </c>
      <c r="E18" s="94"/>
      <c r="F18" s="94"/>
      <c r="G18" s="94"/>
      <c r="H18" s="94"/>
      <c r="I18" s="112"/>
    </row>
    <row r="19" spans="1:9" ht="20" customHeight="1">
      <c r="A19" s="87"/>
      <c r="B19" s="405" t="s">
        <v>551</v>
      </c>
      <c r="C19" s="405" t="s">
        <v>551</v>
      </c>
      <c r="D19" s="405" t="s">
        <v>551</v>
      </c>
      <c r="E19" s="88"/>
      <c r="F19" s="94"/>
      <c r="G19" s="94"/>
      <c r="H19" s="94"/>
      <c r="I19" s="114"/>
    </row>
    <row r="20" spans="1:9" ht="20" customHeight="1">
      <c r="A20" s="87" t="s">
        <v>37</v>
      </c>
      <c r="B20" s="319"/>
      <c r="C20" s="319"/>
      <c r="D20" s="319"/>
      <c r="E20" s="88"/>
      <c r="F20" s="94"/>
      <c r="G20" s="94"/>
      <c r="H20" s="94"/>
      <c r="I20" s="114"/>
    </row>
    <row r="21" spans="1:9" ht="20" customHeight="1">
      <c r="A21" s="87"/>
      <c r="B21" s="289" t="s">
        <v>552</v>
      </c>
      <c r="C21" s="289" t="s">
        <v>552</v>
      </c>
      <c r="D21" s="289" t="s">
        <v>552</v>
      </c>
      <c r="E21" s="93"/>
      <c r="F21" s="94"/>
      <c r="G21" s="94"/>
      <c r="H21" s="94"/>
      <c r="I21" s="112"/>
    </row>
    <row r="22" spans="1:9" ht="20" customHeight="1">
      <c r="A22" s="87" t="s">
        <v>40</v>
      </c>
      <c r="B22" s="405" t="s">
        <v>553</v>
      </c>
      <c r="C22" s="340" t="s">
        <v>566</v>
      </c>
      <c r="D22" s="295" t="s">
        <v>571</v>
      </c>
      <c r="E22" s="94"/>
      <c r="F22" s="94"/>
      <c r="G22" s="94"/>
      <c r="H22" s="94"/>
      <c r="I22" s="111" t="s">
        <v>42</v>
      </c>
    </row>
    <row r="23" spans="1:9" ht="20" customHeight="1">
      <c r="A23" s="87"/>
      <c r="B23" s="320"/>
      <c r="C23" s="341"/>
      <c r="D23" s="321"/>
      <c r="E23" s="94"/>
      <c r="F23" s="94"/>
      <c r="G23" s="94"/>
      <c r="H23" s="94"/>
      <c r="I23" s="284" t="s">
        <v>541</v>
      </c>
    </row>
    <row r="24" spans="1:9" ht="20" customHeight="1">
      <c r="A24" s="87" t="s">
        <v>44</v>
      </c>
      <c r="B24" s="320"/>
      <c r="C24" s="341"/>
      <c r="D24" s="321"/>
      <c r="E24" s="94"/>
      <c r="F24" s="94"/>
      <c r="G24" s="94"/>
      <c r="H24" s="94"/>
      <c r="I24" s="284" t="s">
        <v>542</v>
      </c>
    </row>
    <row r="25" spans="1:9" ht="20" customHeight="1">
      <c r="A25" s="87"/>
      <c r="B25" s="320"/>
      <c r="C25" s="341"/>
      <c r="D25" s="321"/>
      <c r="E25" s="94"/>
      <c r="F25" s="94"/>
      <c r="G25" s="94"/>
      <c r="H25" s="94"/>
      <c r="I25" s="284" t="s">
        <v>543</v>
      </c>
    </row>
    <row r="26" spans="1:9" ht="20" customHeight="1">
      <c r="A26" s="87" t="s">
        <v>45</v>
      </c>
      <c r="B26" s="320"/>
      <c r="C26" s="341"/>
      <c r="D26" s="321"/>
      <c r="E26" s="94"/>
      <c r="F26" s="94"/>
      <c r="G26" s="94"/>
      <c r="H26" s="94"/>
      <c r="I26" s="285" t="s">
        <v>544</v>
      </c>
    </row>
    <row r="27" spans="1:9" ht="20" customHeight="1">
      <c r="A27" s="87"/>
      <c r="B27" s="320"/>
      <c r="C27" s="341"/>
      <c r="D27" s="321"/>
      <c r="E27" s="94"/>
      <c r="F27" s="94"/>
      <c r="G27" s="94"/>
      <c r="H27" s="94"/>
      <c r="I27" s="284" t="s">
        <v>545</v>
      </c>
    </row>
    <row r="28" spans="1:9" ht="20" customHeight="1">
      <c r="A28" s="87" t="s">
        <v>46</v>
      </c>
      <c r="B28" s="320"/>
      <c r="C28" s="341"/>
      <c r="D28" s="321"/>
      <c r="E28" s="94"/>
      <c r="F28" s="94"/>
      <c r="G28" s="94"/>
      <c r="H28" s="94"/>
      <c r="I28" s="284" t="s">
        <v>546</v>
      </c>
    </row>
    <row r="29" spans="1:9" ht="20" customHeight="1">
      <c r="A29" s="87"/>
      <c r="B29" s="319"/>
      <c r="C29" s="342"/>
      <c r="D29" s="296"/>
      <c r="E29" s="94"/>
      <c r="F29" s="94"/>
      <c r="G29" s="94"/>
      <c r="H29" s="94"/>
      <c r="I29" s="284" t="s">
        <v>564</v>
      </c>
    </row>
    <row r="30" spans="1:9" ht="20" customHeight="1">
      <c r="A30" s="87" t="s">
        <v>47</v>
      </c>
      <c r="B30" s="283" t="s">
        <v>554</v>
      </c>
      <c r="C30" s="283" t="s">
        <v>554</v>
      </c>
      <c r="D30" s="288" t="s">
        <v>554</v>
      </c>
      <c r="E30" s="94"/>
      <c r="F30" s="94"/>
      <c r="G30" s="94"/>
      <c r="H30" s="94"/>
      <c r="I30" s="115"/>
    </row>
    <row r="31" spans="1:9" ht="20" customHeight="1">
      <c r="A31" s="91"/>
      <c r="B31" s="405" t="s">
        <v>555</v>
      </c>
      <c r="C31" s="384" t="s">
        <v>567</v>
      </c>
      <c r="D31" s="286" t="s">
        <v>572</v>
      </c>
      <c r="E31" s="94"/>
      <c r="F31" s="94"/>
      <c r="G31" s="94"/>
      <c r="H31" s="94"/>
      <c r="I31" s="115"/>
    </row>
    <row r="32" spans="1:9" ht="20" customHeight="1">
      <c r="A32" s="87" t="s">
        <v>50</v>
      </c>
      <c r="B32" s="320"/>
      <c r="C32" s="327"/>
      <c r="D32" s="301" t="s">
        <v>558</v>
      </c>
      <c r="E32" s="94"/>
      <c r="F32" s="94"/>
      <c r="G32" s="94"/>
      <c r="H32" s="94"/>
      <c r="I32" s="115"/>
    </row>
    <row r="33" spans="1:9" ht="20" customHeight="1">
      <c r="A33" s="87"/>
      <c r="B33" s="319"/>
      <c r="C33" s="405" t="s">
        <v>568</v>
      </c>
      <c r="D33" s="302"/>
      <c r="E33" s="94"/>
      <c r="F33" s="94"/>
      <c r="G33" s="94"/>
      <c r="H33" s="94"/>
      <c r="I33" s="115"/>
    </row>
    <row r="34" spans="1:9" ht="20" customHeight="1">
      <c r="A34" s="87" t="s">
        <v>53</v>
      </c>
      <c r="B34" s="283" t="s">
        <v>556</v>
      </c>
      <c r="C34" s="320"/>
      <c r="D34" s="302"/>
      <c r="E34" s="94"/>
      <c r="F34" s="94"/>
      <c r="G34" s="94"/>
      <c r="H34" s="94"/>
      <c r="I34" s="115"/>
    </row>
    <row r="35" spans="1:9" ht="20" customHeight="1">
      <c r="A35" s="87"/>
      <c r="B35" s="405" t="s">
        <v>557</v>
      </c>
      <c r="C35" s="320"/>
      <c r="D35" s="302"/>
      <c r="E35" s="94"/>
      <c r="F35" s="94"/>
      <c r="G35" s="94"/>
      <c r="H35" s="94"/>
      <c r="I35" s="111" t="s">
        <v>54</v>
      </c>
    </row>
    <row r="36" spans="1:9" ht="20" customHeight="1">
      <c r="A36" s="87" t="s">
        <v>55</v>
      </c>
      <c r="B36" s="319"/>
      <c r="C36" s="319"/>
      <c r="D36" s="302"/>
      <c r="E36" s="94"/>
      <c r="F36" s="94"/>
      <c r="G36" s="94"/>
      <c r="H36" s="94"/>
      <c r="I36" s="113"/>
    </row>
    <row r="37" spans="1:9" ht="20" customHeight="1">
      <c r="A37" s="87"/>
      <c r="B37" s="343" t="s">
        <v>558</v>
      </c>
      <c r="C37" s="405" t="s">
        <v>569</v>
      </c>
      <c r="D37" s="302"/>
      <c r="E37" s="94"/>
      <c r="F37" s="94"/>
      <c r="G37" s="94"/>
      <c r="H37" s="94"/>
      <c r="I37" s="112"/>
    </row>
    <row r="38" spans="1:9" ht="20" customHeight="1">
      <c r="A38" s="87" t="s">
        <v>56</v>
      </c>
      <c r="B38" s="345"/>
      <c r="C38" s="319"/>
      <c r="D38" s="303"/>
      <c r="E38" s="94"/>
      <c r="F38" s="94"/>
      <c r="G38" s="94"/>
      <c r="H38" s="94"/>
      <c r="I38" s="114"/>
    </row>
    <row r="39" spans="1:9" ht="20" customHeight="1">
      <c r="A39" s="87"/>
      <c r="B39" s="346" t="s">
        <v>559</v>
      </c>
      <c r="C39" s="346" t="s">
        <v>559</v>
      </c>
      <c r="D39" s="94"/>
      <c r="E39" s="94"/>
      <c r="F39" s="94"/>
      <c r="G39" s="94"/>
      <c r="H39" s="94"/>
      <c r="I39" s="111"/>
    </row>
    <row r="40" spans="1:9" ht="20" customHeight="1">
      <c r="A40" s="87" t="s">
        <v>60</v>
      </c>
      <c r="B40" s="347"/>
      <c r="C40" s="347"/>
      <c r="D40" s="94"/>
      <c r="E40" s="94"/>
      <c r="F40" s="94"/>
      <c r="G40" s="94"/>
      <c r="H40" s="94"/>
      <c r="I40" s="113"/>
    </row>
    <row r="41" spans="1:9" ht="20" customHeight="1">
      <c r="A41" s="87"/>
      <c r="B41" s="406" t="s">
        <v>539</v>
      </c>
      <c r="C41" s="406" t="s">
        <v>539</v>
      </c>
      <c r="D41" s="94"/>
      <c r="E41" s="94"/>
      <c r="F41" s="94"/>
      <c r="G41" s="94"/>
      <c r="H41" s="94"/>
      <c r="I41" s="114"/>
    </row>
    <row r="42" spans="1:9" ht="20" customHeight="1">
      <c r="A42" s="87" t="s">
        <v>62</v>
      </c>
      <c r="B42" s="316"/>
      <c r="C42" s="316"/>
      <c r="D42" s="94"/>
      <c r="E42" s="94"/>
      <c r="F42" s="94"/>
      <c r="G42" s="94"/>
      <c r="H42" s="94"/>
      <c r="I42" s="114"/>
    </row>
    <row r="43" spans="1:9" ht="20" customHeight="1">
      <c r="A43" s="87"/>
      <c r="B43" s="316"/>
      <c r="C43" s="316"/>
      <c r="D43" s="94"/>
      <c r="E43" s="94"/>
      <c r="F43" s="94"/>
      <c r="G43" s="94"/>
      <c r="H43" s="94"/>
      <c r="I43" s="112"/>
    </row>
    <row r="44" spans="1:9" ht="20" customHeight="1">
      <c r="A44" s="87" t="s">
        <v>63</v>
      </c>
      <c r="B44" s="316"/>
      <c r="C44" s="316"/>
      <c r="D44" s="94"/>
      <c r="E44" s="94"/>
      <c r="F44" s="94"/>
      <c r="G44" s="94"/>
      <c r="H44" s="94"/>
      <c r="I44" s="112"/>
    </row>
    <row r="45" spans="1:9" ht="20" customHeight="1">
      <c r="A45" s="87"/>
      <c r="B45" s="316"/>
      <c r="C45" s="316"/>
      <c r="D45" s="94"/>
      <c r="E45" s="94"/>
      <c r="F45" s="94"/>
      <c r="G45" s="94"/>
      <c r="H45" s="94"/>
      <c r="I45" s="112"/>
    </row>
    <row r="46" spans="1:9" ht="20" customHeight="1">
      <c r="A46" s="87" t="s">
        <v>64</v>
      </c>
      <c r="B46" s="316"/>
      <c r="C46" s="316"/>
      <c r="D46" s="94"/>
      <c r="E46" s="94"/>
      <c r="F46" s="94"/>
      <c r="G46" s="94"/>
      <c r="H46" s="94"/>
      <c r="I46" s="111" t="s">
        <v>65</v>
      </c>
    </row>
    <row r="47" spans="1:9" ht="20" customHeight="1">
      <c r="A47" s="87"/>
      <c r="B47" s="316"/>
      <c r="C47" s="316"/>
      <c r="D47" s="94"/>
      <c r="E47" s="94"/>
      <c r="F47" s="94"/>
      <c r="G47" s="94"/>
      <c r="H47" s="94"/>
      <c r="I47" s="116"/>
    </row>
    <row r="48" spans="1:9" ht="20" customHeight="1">
      <c r="A48" s="87" t="s">
        <v>66</v>
      </c>
      <c r="B48" s="316"/>
      <c r="C48" s="316"/>
      <c r="D48" s="94"/>
      <c r="E48" s="94"/>
      <c r="F48" s="94"/>
      <c r="G48" s="94"/>
      <c r="H48" s="94"/>
      <c r="I48" s="114"/>
    </row>
    <row r="49" spans="1:14" ht="20" customHeight="1">
      <c r="A49" s="87"/>
      <c r="B49" s="316"/>
      <c r="C49" s="316"/>
      <c r="D49" s="94"/>
      <c r="E49" s="94"/>
      <c r="F49" s="94"/>
      <c r="G49" s="94"/>
      <c r="H49" s="94"/>
      <c r="I49" s="114"/>
    </row>
    <row r="50" spans="1:14" ht="20" customHeight="1">
      <c r="A50" s="87" t="s">
        <v>67</v>
      </c>
      <c r="B50" s="317"/>
      <c r="C50" s="317"/>
      <c r="D50" s="94"/>
      <c r="E50" s="94"/>
      <c r="F50" s="94"/>
      <c r="G50" s="94"/>
      <c r="H50" s="94"/>
      <c r="I50" s="112"/>
    </row>
    <row r="51" spans="1:14" ht="20" customHeight="1">
      <c r="A51" s="97" t="s">
        <v>68</v>
      </c>
      <c r="B51" s="98">
        <f t="shared" ref="B51:H55" si="0">GetColorCount(B$2:B$50,$A51)*0.5</f>
        <v>2</v>
      </c>
      <c r="C51" s="98">
        <f t="shared" si="0"/>
        <v>3.5</v>
      </c>
      <c r="D51" s="98">
        <f t="shared" si="0"/>
        <v>1</v>
      </c>
      <c r="E51" s="98">
        <f t="shared" si="0"/>
        <v>0</v>
      </c>
      <c r="F51" s="98">
        <f t="shared" si="0"/>
        <v>0</v>
      </c>
      <c r="G51" s="98">
        <f t="shared" si="0"/>
        <v>0</v>
      </c>
      <c r="H51" s="98">
        <f t="shared" si="0"/>
        <v>0</v>
      </c>
      <c r="I51" s="117" t="s">
        <v>123</v>
      </c>
    </row>
    <row r="52" spans="1:14" ht="20" customHeight="1">
      <c r="A52" s="99" t="s">
        <v>9</v>
      </c>
      <c r="B52" s="98">
        <f t="shared" si="0"/>
        <v>9</v>
      </c>
      <c r="C52" s="98">
        <f t="shared" si="0"/>
        <v>9</v>
      </c>
      <c r="D52" s="98">
        <f t="shared" si="0"/>
        <v>4.5</v>
      </c>
      <c r="E52" s="98">
        <f t="shared" si="0"/>
        <v>0</v>
      </c>
      <c r="F52" s="98">
        <f t="shared" si="0"/>
        <v>0</v>
      </c>
      <c r="G52" s="98">
        <f t="shared" si="0"/>
        <v>0</v>
      </c>
      <c r="H52" s="98">
        <f t="shared" si="0"/>
        <v>0</v>
      </c>
      <c r="I52" s="290" t="s">
        <v>560</v>
      </c>
    </row>
    <row r="53" spans="1:14" ht="20" customHeight="1">
      <c r="A53" s="100" t="s">
        <v>71</v>
      </c>
      <c r="B53" s="98">
        <f t="shared" si="0"/>
        <v>11</v>
      </c>
      <c r="C53" s="98">
        <f t="shared" si="0"/>
        <v>11.5</v>
      </c>
      <c r="D53" s="98">
        <f t="shared" si="0"/>
        <v>9</v>
      </c>
      <c r="E53" s="98">
        <f t="shared" si="0"/>
        <v>0</v>
      </c>
      <c r="F53" s="98">
        <f t="shared" si="0"/>
        <v>0</v>
      </c>
      <c r="G53" s="98">
        <f t="shared" si="0"/>
        <v>0</v>
      </c>
      <c r="H53" s="98">
        <f t="shared" si="0"/>
        <v>0</v>
      </c>
      <c r="I53" s="110" t="s">
        <v>562</v>
      </c>
    </row>
    <row r="54" spans="1:14" ht="20" customHeight="1">
      <c r="A54" s="101" t="s">
        <v>72</v>
      </c>
      <c r="B54" s="98">
        <f t="shared" si="0"/>
        <v>0</v>
      </c>
      <c r="C54" s="98">
        <f t="shared" si="0"/>
        <v>0</v>
      </c>
      <c r="D54" s="98">
        <f t="shared" si="0"/>
        <v>0</v>
      </c>
      <c r="E54" s="98">
        <f t="shared" si="0"/>
        <v>0</v>
      </c>
      <c r="F54" s="98">
        <f t="shared" si="0"/>
        <v>0</v>
      </c>
      <c r="G54" s="98">
        <f t="shared" si="0"/>
        <v>0</v>
      </c>
      <c r="H54" s="98">
        <f t="shared" si="0"/>
        <v>0</v>
      </c>
      <c r="I54" s="291" t="s">
        <v>561</v>
      </c>
    </row>
    <row r="55" spans="1:14" ht="20" customHeight="1">
      <c r="A55" s="102" t="s">
        <v>73</v>
      </c>
      <c r="B55" s="98">
        <f t="shared" si="0"/>
        <v>1</v>
      </c>
      <c r="C55" s="98">
        <f t="shared" si="0"/>
        <v>0</v>
      </c>
      <c r="D55" s="98">
        <f t="shared" si="0"/>
        <v>0</v>
      </c>
      <c r="E55" s="98">
        <f t="shared" si="0"/>
        <v>0</v>
      </c>
      <c r="F55" s="98">
        <f t="shared" si="0"/>
        <v>0</v>
      </c>
      <c r="G55" s="98">
        <f t="shared" si="0"/>
        <v>0</v>
      </c>
      <c r="H55" s="98">
        <f t="shared" si="0"/>
        <v>0</v>
      </c>
      <c r="I55" s="119"/>
    </row>
    <row r="56" spans="1:14" s="82" customFormat="1" ht="20" customHeight="1">
      <c r="A56" s="103" t="s">
        <v>74</v>
      </c>
      <c r="B56" s="104">
        <f>SUM(B51:B55)</f>
        <v>23</v>
      </c>
      <c r="C56" s="104">
        <f t="shared" ref="C56:H56" si="1">SUM(C51:C55)</f>
        <v>24</v>
      </c>
      <c r="D56" s="104">
        <f t="shared" si="1"/>
        <v>14.5</v>
      </c>
      <c r="E56" s="104">
        <f t="shared" si="1"/>
        <v>0</v>
      </c>
      <c r="F56" s="104">
        <f t="shared" si="1"/>
        <v>0</v>
      </c>
      <c r="G56" s="104">
        <f t="shared" si="1"/>
        <v>0</v>
      </c>
      <c r="H56" s="104">
        <f t="shared" si="1"/>
        <v>0</v>
      </c>
      <c r="I56" s="120"/>
    </row>
    <row r="57" spans="1:14" ht="20" customHeight="1">
      <c r="A57" s="311" t="s">
        <v>68</v>
      </c>
      <c r="B57" s="312" t="s">
        <v>9</v>
      </c>
      <c r="C57" s="300" t="s">
        <v>75</v>
      </c>
      <c r="D57" s="307" t="s">
        <v>76</v>
      </c>
      <c r="E57" s="313" t="s">
        <v>77</v>
      </c>
      <c r="F57" s="352" t="s">
        <v>78</v>
      </c>
      <c r="G57" s="109"/>
      <c r="H57" s="109"/>
      <c r="I57" s="117" t="s">
        <v>108</v>
      </c>
    </row>
    <row r="58" spans="1:14" s="81" customFormat="1" ht="20" customHeight="1">
      <c r="A58" s="311"/>
      <c r="B58" s="312"/>
      <c r="C58" s="300"/>
      <c r="D58" s="308"/>
      <c r="E58" s="313"/>
      <c r="F58" s="352"/>
      <c r="G58" s="109"/>
      <c r="H58" s="109"/>
      <c r="I58" s="121"/>
    </row>
    <row r="59" spans="1:14" s="81" customFormat="1" ht="20" customHeight="1">
      <c r="A59" s="311"/>
      <c r="B59" s="312"/>
      <c r="C59" s="300"/>
      <c r="D59" s="308"/>
      <c r="E59" s="313"/>
      <c r="F59" s="352"/>
      <c r="G59" s="109"/>
      <c r="H59" s="109"/>
      <c r="I59" s="95"/>
    </row>
    <row r="60" spans="1:14" s="81" customFormat="1" ht="20" customHeight="1">
      <c r="A60" s="106">
        <f>SUM(B51:H51)</f>
        <v>6.5</v>
      </c>
      <c r="B60" s="106">
        <f>SUM(B52:H52)</f>
        <v>22.5</v>
      </c>
      <c r="C60" s="106">
        <f>SUM(B53:H53)</f>
        <v>31.5</v>
      </c>
      <c r="D60" s="106">
        <f>SUM(B54:H54)</f>
        <v>0</v>
      </c>
      <c r="E60" s="106">
        <f>SUM(B55:H55)</f>
        <v>1</v>
      </c>
      <c r="F60" s="106">
        <f>SUM(B56:H56)</f>
        <v>61.5</v>
      </c>
      <c r="G60" s="83"/>
      <c r="H60" s="83"/>
      <c r="I60" s="95"/>
    </row>
    <row r="61" spans="1:14" ht="20" customHeight="1">
      <c r="A61" s="107">
        <f>A60/7</f>
        <v>0.9285714285714286</v>
      </c>
      <c r="B61" s="107">
        <f>B60/7</f>
        <v>3.2142857142857144</v>
      </c>
      <c r="C61" s="107">
        <f>C60/7</f>
        <v>4.5</v>
      </c>
      <c r="D61" s="107">
        <f>D60/7</f>
        <v>0</v>
      </c>
      <c r="E61" s="106">
        <f>E60/7</f>
        <v>0.14285714285714285</v>
      </c>
      <c r="F61" s="107"/>
      <c r="I61" s="122"/>
    </row>
    <row r="62" spans="1:14" ht="20" customHeight="1">
      <c r="I62" s="80"/>
    </row>
    <row r="63" spans="1:14" ht="20" customHeight="1">
      <c r="I63" s="310"/>
      <c r="J63" s="310"/>
      <c r="K63" s="310"/>
      <c r="L63" s="310"/>
      <c r="M63" s="310"/>
      <c r="N63" s="310"/>
    </row>
    <row r="65" spans="6:9" ht="20" customHeight="1">
      <c r="H65" s="123"/>
      <c r="I65" s="126"/>
    </row>
    <row r="66" spans="6:9" ht="20" customHeight="1">
      <c r="H66" s="124"/>
      <c r="I66" s="126"/>
    </row>
    <row r="67" spans="6:9" ht="20" customHeight="1">
      <c r="H67" s="123"/>
      <c r="I67" s="126"/>
    </row>
    <row r="68" spans="6:9" ht="20" customHeight="1">
      <c r="H68" s="123"/>
      <c r="I68" s="126"/>
    </row>
    <row r="69" spans="6:9" ht="20" customHeight="1">
      <c r="H69" s="123"/>
      <c r="I69" s="126"/>
    </row>
    <row r="73" spans="6:9" ht="20" customHeight="1">
      <c r="F73" s="125"/>
    </row>
    <row r="90" spans="9:9" ht="20" customHeight="1">
      <c r="I90" s="80"/>
    </row>
    <row r="91" spans="9:9" ht="20" customHeight="1">
      <c r="I91" s="80"/>
    </row>
    <row r="92" spans="9:9" ht="20" customHeight="1">
      <c r="I92" s="80"/>
    </row>
    <row r="93" spans="9:9" ht="20" customHeight="1">
      <c r="I93" s="80"/>
    </row>
    <row r="94" spans="9:9" ht="20" customHeight="1">
      <c r="I94" s="80"/>
    </row>
    <row r="95" spans="9:9" ht="20" customHeight="1">
      <c r="I95" s="80"/>
    </row>
    <row r="96" spans="9:9" ht="20" customHeight="1">
      <c r="I96" s="80"/>
    </row>
    <row r="97" spans="9:9" ht="20" customHeight="1">
      <c r="I97" s="80"/>
    </row>
  </sheetData>
  <mergeCells count="30">
    <mergeCell ref="D12:D17"/>
    <mergeCell ref="D19:D20"/>
    <mergeCell ref="D22:D29"/>
    <mergeCell ref="D32:D38"/>
    <mergeCell ref="A57:A59"/>
    <mergeCell ref="B57:B59"/>
    <mergeCell ref="C57:C59"/>
    <mergeCell ref="D57:D59"/>
    <mergeCell ref="E57:E59"/>
    <mergeCell ref="B3:B9"/>
    <mergeCell ref="B13:B17"/>
    <mergeCell ref="B19:B20"/>
    <mergeCell ref="B22:B29"/>
    <mergeCell ref="I63:N63"/>
    <mergeCell ref="F57:F59"/>
    <mergeCell ref="C3:C9"/>
    <mergeCell ref="C12:C17"/>
    <mergeCell ref="C19:C20"/>
    <mergeCell ref="C22:C29"/>
    <mergeCell ref="C31:C32"/>
    <mergeCell ref="C33:C36"/>
    <mergeCell ref="C37:C38"/>
    <mergeCell ref="C39:C40"/>
    <mergeCell ref="C41:C50"/>
    <mergeCell ref="D3:D10"/>
    <mergeCell ref="B31:B33"/>
    <mergeCell ref="B35:B36"/>
    <mergeCell ref="B37:B38"/>
    <mergeCell ref="B41:B50"/>
    <mergeCell ref="B39:B40"/>
  </mergeCells>
  <phoneticPr fontId="3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FD72"/>
  <sheetViews>
    <sheetView showGridLines="0" tabSelected="1" topLeftCell="H1" zoomScale="106" workbookViewId="0">
      <selection activeCell="G27" sqref="G27"/>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59" t="s">
        <v>173</v>
      </c>
      <c r="B1" s="359"/>
      <c r="C1" s="359"/>
      <c r="D1" s="359"/>
      <c r="E1" s="359"/>
      <c r="G1" s="359" t="s">
        <v>174</v>
      </c>
      <c r="H1" s="359"/>
      <c r="I1" s="359"/>
      <c r="J1" s="359"/>
      <c r="K1" s="359"/>
      <c r="M1" s="359" t="s">
        <v>175</v>
      </c>
      <c r="N1" s="359"/>
      <c r="O1" s="359"/>
      <c r="P1" s="359"/>
      <c r="Q1" s="359"/>
      <c r="Z1" s="68"/>
      <c r="XEZ1" s="77"/>
      <c r="XFA1" s="77"/>
      <c r="XFB1" s="77"/>
      <c r="XFC1" s="77"/>
      <c r="XFD1" s="77"/>
    </row>
    <row r="2" spans="1:16384" s="1" customFormat="1" ht="24" customHeight="1">
      <c r="A2" s="359"/>
      <c r="B2" s="359"/>
      <c r="C2" s="359"/>
      <c r="D2" s="359"/>
      <c r="E2" s="359"/>
      <c r="F2" s="33"/>
      <c r="G2" s="359"/>
      <c r="H2" s="359"/>
      <c r="I2" s="359"/>
      <c r="J2" s="359"/>
      <c r="K2" s="359"/>
      <c r="L2" s="33"/>
      <c r="M2" s="359"/>
      <c r="N2" s="359"/>
      <c r="O2" s="359"/>
      <c r="P2" s="359"/>
      <c r="Q2" s="359"/>
      <c r="R2" s="33"/>
      <c r="S2" s="33"/>
      <c r="T2" s="33"/>
      <c r="U2" s="33"/>
      <c r="V2" s="33"/>
      <c r="W2" s="33"/>
      <c r="X2" s="33"/>
      <c r="Y2" s="33"/>
      <c r="Z2" s="68"/>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7"/>
      <c r="XFA2" s="77"/>
      <c r="XFB2" s="77"/>
      <c r="XFC2" s="77"/>
      <c r="XFD2" s="77"/>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8"/>
      <c r="Q3" s="57"/>
      <c r="Z3" s="69"/>
      <c r="XEZ3" s="78"/>
      <c r="XFA3" s="78"/>
    </row>
    <row r="4" spans="1:16384" s="3" customFormat="1" ht="12.75" customHeight="1">
      <c r="A4" s="14">
        <v>1000</v>
      </c>
      <c r="B4" s="14">
        <f>SUM(D7:D50)</f>
        <v>957.5</v>
      </c>
      <c r="C4" s="14">
        <f>A4-B4</f>
        <v>42.5</v>
      </c>
      <c r="D4" s="14"/>
      <c r="E4" s="14"/>
      <c r="G4" s="14">
        <v>1500</v>
      </c>
      <c r="H4" s="14">
        <f>SUM(J:J)</f>
        <v>387.52000000000004</v>
      </c>
      <c r="I4" s="14">
        <f>G4-H4</f>
        <v>1112.48</v>
      </c>
      <c r="J4" s="14"/>
      <c r="K4" s="14"/>
      <c r="M4" s="14">
        <v>0</v>
      </c>
      <c r="N4" s="14">
        <f>SUM(P7:P31)</f>
        <v>359</v>
      </c>
      <c r="O4" s="14">
        <f>M4-N4</f>
        <v>-359</v>
      </c>
      <c r="P4" s="14"/>
      <c r="Q4" s="30"/>
      <c r="XEZ4" s="79"/>
      <c r="XFA4" s="79"/>
    </row>
    <row r="5" spans="1:16384" s="2" customFormat="1" ht="12.75" customHeight="1">
      <c r="A5" s="363" t="s">
        <v>179</v>
      </c>
      <c r="B5" s="360" t="s">
        <v>180</v>
      </c>
      <c r="C5" s="360"/>
      <c r="D5" s="360"/>
      <c r="E5" s="364" t="s">
        <v>181</v>
      </c>
      <c r="G5" s="363" t="s">
        <v>179</v>
      </c>
      <c r="H5" s="360" t="s">
        <v>180</v>
      </c>
      <c r="I5" s="360"/>
      <c r="J5" s="360"/>
      <c r="K5" s="364" t="s">
        <v>181</v>
      </c>
      <c r="M5" s="363" t="s">
        <v>179</v>
      </c>
      <c r="N5" s="360" t="s">
        <v>180</v>
      </c>
      <c r="O5" s="360"/>
      <c r="P5" s="361"/>
      <c r="Q5" s="366" t="s">
        <v>181</v>
      </c>
      <c r="S5" s="58" t="s">
        <v>182</v>
      </c>
      <c r="T5" s="58" t="s">
        <v>183</v>
      </c>
      <c r="W5" s="370" t="s">
        <v>184</v>
      </c>
      <c r="X5" s="371"/>
      <c r="Y5" s="371"/>
      <c r="Z5" s="372"/>
      <c r="AA5" s="371"/>
      <c r="AB5" s="373"/>
      <c r="XEZ5" s="78"/>
      <c r="XFA5" s="78"/>
    </row>
    <row r="6" spans="1:16384" s="2" customFormat="1" ht="12.75" customHeight="1">
      <c r="A6" s="363"/>
      <c r="B6" s="15" t="s">
        <v>185</v>
      </c>
      <c r="C6" s="15" t="s">
        <v>186</v>
      </c>
      <c r="D6" s="16" t="s">
        <v>187</v>
      </c>
      <c r="E6" s="364"/>
      <c r="G6" s="363"/>
      <c r="H6" s="15" t="s">
        <v>185</v>
      </c>
      <c r="I6" s="15" t="s">
        <v>186</v>
      </c>
      <c r="J6" s="16" t="s">
        <v>187</v>
      </c>
      <c r="K6" s="364"/>
      <c r="M6" s="363"/>
      <c r="N6" s="15" t="s">
        <v>185</v>
      </c>
      <c r="O6" s="15" t="s">
        <v>186</v>
      </c>
      <c r="P6" s="16" t="s">
        <v>187</v>
      </c>
      <c r="Q6" s="366"/>
      <c r="S6" s="29" t="s">
        <v>188</v>
      </c>
      <c r="T6" s="29" t="s">
        <v>189</v>
      </c>
      <c r="W6" s="63">
        <v>1</v>
      </c>
      <c r="X6" s="64" t="s">
        <v>190</v>
      </c>
      <c r="Y6" s="70" t="s">
        <v>191</v>
      </c>
      <c r="Z6" s="71" t="s">
        <v>192</v>
      </c>
      <c r="AA6" s="257" t="s">
        <v>193</v>
      </c>
      <c r="AB6" s="72" t="s">
        <v>181</v>
      </c>
      <c r="XEZ6" s="78"/>
      <c r="XFA6" s="78"/>
    </row>
    <row r="7" spans="1:16384" s="4" customFormat="1" ht="12.75" customHeight="1">
      <c r="A7" s="17">
        <v>44593</v>
      </c>
      <c r="B7" s="18" t="s">
        <v>212</v>
      </c>
      <c r="C7" s="18" t="s">
        <v>213</v>
      </c>
      <c r="D7" s="219">
        <v>600</v>
      </c>
      <c r="E7" s="220" t="s">
        <v>469</v>
      </c>
      <c r="G7" s="17">
        <v>44597</v>
      </c>
      <c r="H7" s="18" t="s">
        <v>227</v>
      </c>
      <c r="I7" s="259" t="s">
        <v>230</v>
      </c>
      <c r="J7" s="260">
        <v>35</v>
      </c>
      <c r="K7" s="258" t="s">
        <v>472</v>
      </c>
      <c r="M7" s="28">
        <v>44594</v>
      </c>
      <c r="N7" s="18" t="s">
        <v>188</v>
      </c>
      <c r="O7" s="18" t="s">
        <v>189</v>
      </c>
      <c r="P7" s="26">
        <v>260</v>
      </c>
      <c r="Q7" s="25" t="s">
        <v>462</v>
      </c>
      <c r="S7" s="367" t="s">
        <v>194</v>
      </c>
      <c r="T7" s="29" t="s">
        <v>195</v>
      </c>
      <c r="W7" s="29" t="s">
        <v>198</v>
      </c>
      <c r="X7" s="374">
        <f>SUM(Z8:Z22)</f>
        <v>8028.76</v>
      </c>
      <c r="Y7" s="375"/>
      <c r="Z7" s="375"/>
      <c r="AA7" s="375"/>
      <c r="AB7" s="376"/>
    </row>
    <row r="8" spans="1:16384" s="4" customFormat="1" ht="12.75" customHeight="1">
      <c r="A8" s="17">
        <v>44594</v>
      </c>
      <c r="B8" s="18" t="s">
        <v>212</v>
      </c>
      <c r="C8" s="18" t="s">
        <v>211</v>
      </c>
      <c r="D8" s="20">
        <v>40</v>
      </c>
      <c r="E8" s="17" t="s">
        <v>463</v>
      </c>
      <c r="G8" s="17">
        <v>44599</v>
      </c>
      <c r="H8" s="29" t="s">
        <v>188</v>
      </c>
      <c r="I8" s="29" t="s">
        <v>189</v>
      </c>
      <c r="J8" s="19">
        <v>32.21</v>
      </c>
      <c r="K8" s="18"/>
      <c r="M8" s="28">
        <v>44597</v>
      </c>
      <c r="N8" s="29" t="s">
        <v>212</v>
      </c>
      <c r="O8" s="29" t="s">
        <v>222</v>
      </c>
      <c r="P8" s="260">
        <f>21+16+2.6+23</f>
        <v>62.6</v>
      </c>
      <c r="Q8" s="259" t="s">
        <v>473</v>
      </c>
      <c r="S8" s="368"/>
      <c r="T8" s="29" t="s">
        <v>203</v>
      </c>
      <c r="W8" s="65">
        <v>2</v>
      </c>
      <c r="X8" s="28">
        <v>44219</v>
      </c>
      <c r="Y8" s="42" t="s">
        <v>204</v>
      </c>
      <c r="Z8" s="73">
        <f>980+50+2</f>
        <v>1032</v>
      </c>
      <c r="AA8" s="42">
        <v>44230</v>
      </c>
      <c r="AB8" s="29" t="s">
        <v>205</v>
      </c>
    </row>
    <row r="9" spans="1:16384" s="4" customFormat="1" ht="12.75" customHeight="1">
      <c r="A9" s="17">
        <v>44594</v>
      </c>
      <c r="B9" s="18" t="s">
        <v>194</v>
      </c>
      <c r="C9" s="18" t="s">
        <v>195</v>
      </c>
      <c r="D9" s="20">
        <v>107.2</v>
      </c>
      <c r="E9" s="36" t="s">
        <v>464</v>
      </c>
      <c r="F9" s="33"/>
      <c r="G9" s="17">
        <v>44599</v>
      </c>
      <c r="H9" s="29" t="s">
        <v>188</v>
      </c>
      <c r="I9" s="29" t="s">
        <v>189</v>
      </c>
      <c r="J9" s="260">
        <v>90.9</v>
      </c>
      <c r="K9" s="258" t="s">
        <v>476</v>
      </c>
      <c r="M9" s="28">
        <v>44599</v>
      </c>
      <c r="N9" s="29" t="s">
        <v>188</v>
      </c>
      <c r="O9" s="29" t="s">
        <v>189</v>
      </c>
      <c r="P9" s="49">
        <v>25</v>
      </c>
      <c r="Q9" s="259" t="s">
        <v>474</v>
      </c>
      <c r="S9" s="367" t="s">
        <v>52</v>
      </c>
      <c r="T9" s="29" t="s">
        <v>206</v>
      </c>
      <c r="W9" s="65">
        <v>3</v>
      </c>
      <c r="X9" s="28">
        <v>44257</v>
      </c>
      <c r="Y9" s="42" t="s">
        <v>209</v>
      </c>
      <c r="Z9" s="73">
        <f>2050+50</f>
        <v>2100</v>
      </c>
      <c r="AA9" s="42"/>
      <c r="AB9" s="29" t="s">
        <v>210</v>
      </c>
    </row>
    <row r="10" spans="1:16384" s="4" customFormat="1" ht="12.75" customHeight="1">
      <c r="A10" s="17">
        <v>44594</v>
      </c>
      <c r="B10" s="18" t="s">
        <v>211</v>
      </c>
      <c r="C10" s="18" t="s">
        <v>211</v>
      </c>
      <c r="D10" s="20">
        <v>15</v>
      </c>
      <c r="E10" s="17"/>
      <c r="F10" s="33"/>
      <c r="G10" s="17">
        <v>44597</v>
      </c>
      <c r="H10" s="29" t="s">
        <v>52</v>
      </c>
      <c r="I10" s="29" t="s">
        <v>206</v>
      </c>
      <c r="J10" s="19">
        <v>9.9</v>
      </c>
      <c r="K10" s="35"/>
      <c r="M10" s="28">
        <v>44599</v>
      </c>
      <c r="N10" s="29" t="s">
        <v>188</v>
      </c>
      <c r="O10" s="29" t="s">
        <v>189</v>
      </c>
      <c r="P10" s="49">
        <v>11.4</v>
      </c>
      <c r="Q10" s="262" t="s">
        <v>475</v>
      </c>
      <c r="S10" s="369"/>
      <c r="T10" s="29" t="s">
        <v>215</v>
      </c>
      <c r="W10" s="66">
        <v>4</v>
      </c>
      <c r="X10" s="67">
        <v>44276</v>
      </c>
      <c r="Y10" s="74" t="s">
        <v>216</v>
      </c>
      <c r="Z10" s="75">
        <v>548.35</v>
      </c>
      <c r="AA10" s="74">
        <v>44296</v>
      </c>
      <c r="AB10" s="76" t="s">
        <v>217</v>
      </c>
    </row>
    <row r="11" spans="1:16384" s="4" customFormat="1" ht="12.75" customHeight="1">
      <c r="A11" s="17">
        <v>44594</v>
      </c>
      <c r="B11" s="18" t="s">
        <v>188</v>
      </c>
      <c r="C11" s="18" t="s">
        <v>189</v>
      </c>
      <c r="D11" s="21">
        <v>48</v>
      </c>
      <c r="E11" s="36" t="s">
        <v>465</v>
      </c>
      <c r="F11" s="365"/>
      <c r="G11" s="17"/>
      <c r="H11" s="18"/>
      <c r="I11" s="18"/>
      <c r="J11" s="19">
        <v>-70.3</v>
      </c>
      <c r="K11" s="258" t="s">
        <v>477</v>
      </c>
      <c r="M11" s="28"/>
      <c r="N11" s="29"/>
      <c r="O11" s="29"/>
      <c r="P11" s="51"/>
      <c r="Q11" s="60"/>
      <c r="S11" s="369"/>
      <c r="T11" s="29" t="s">
        <v>221</v>
      </c>
      <c r="W11" s="66">
        <v>5</v>
      </c>
      <c r="X11" s="67">
        <v>44324</v>
      </c>
      <c r="Y11" s="74" t="s">
        <v>216</v>
      </c>
      <c r="Z11" s="75">
        <v>463.01</v>
      </c>
      <c r="AA11" s="74"/>
      <c r="AB11" s="76" t="s">
        <v>217</v>
      </c>
    </row>
    <row r="12" spans="1:16384" s="4" customFormat="1" ht="12.75" customHeight="1">
      <c r="A12" s="17">
        <v>44594</v>
      </c>
      <c r="B12" s="18" t="s">
        <v>188</v>
      </c>
      <c r="C12" s="18" t="s">
        <v>189</v>
      </c>
      <c r="D12" s="22">
        <v>34.5</v>
      </c>
      <c r="E12" s="37" t="s">
        <v>466</v>
      </c>
      <c r="F12" s="365"/>
      <c r="G12" s="17">
        <v>44597</v>
      </c>
      <c r="H12" s="29" t="s">
        <v>188</v>
      </c>
      <c r="I12" s="29" t="s">
        <v>189</v>
      </c>
      <c r="J12" s="263">
        <f>2.6+45.5</f>
        <v>48.1</v>
      </c>
      <c r="K12" s="17"/>
      <c r="M12" s="28"/>
      <c r="N12" s="29"/>
      <c r="O12" s="29"/>
      <c r="P12" s="52"/>
      <c r="Q12" s="29"/>
      <c r="S12" s="368"/>
      <c r="T12" s="29" t="s">
        <v>224</v>
      </c>
      <c r="W12" s="66">
        <v>6</v>
      </c>
      <c r="X12" s="67">
        <v>44453</v>
      </c>
      <c r="Y12" s="74" t="s">
        <v>225</v>
      </c>
      <c r="Z12" s="75">
        <v>3825</v>
      </c>
      <c r="AA12" s="74">
        <v>44482</v>
      </c>
      <c r="AB12" s="76"/>
    </row>
    <row r="13" spans="1:16384" s="4" customFormat="1" ht="12.75" customHeight="1">
      <c r="A13" s="17">
        <v>44595</v>
      </c>
      <c r="B13" s="18" t="s">
        <v>212</v>
      </c>
      <c r="C13" s="18" t="s">
        <v>213</v>
      </c>
      <c r="D13" s="20">
        <f>108+70</f>
        <v>178</v>
      </c>
      <c r="E13" s="18" t="s">
        <v>467</v>
      </c>
      <c r="F13" s="365"/>
      <c r="G13" s="17">
        <v>44600</v>
      </c>
      <c r="H13" s="29" t="s">
        <v>188</v>
      </c>
      <c r="I13" s="29" t="s">
        <v>189</v>
      </c>
      <c r="J13" s="4">
        <v>31.7</v>
      </c>
      <c r="K13" s="259" t="s">
        <v>516</v>
      </c>
      <c r="M13" s="28"/>
      <c r="N13" s="29"/>
      <c r="O13" s="29"/>
      <c r="P13" s="49"/>
      <c r="Q13" s="29"/>
      <c r="S13" s="367" t="s">
        <v>227</v>
      </c>
      <c r="T13" s="29" t="s">
        <v>228</v>
      </c>
      <c r="W13" s="463">
        <v>7</v>
      </c>
      <c r="X13" s="464">
        <v>44482</v>
      </c>
      <c r="Y13" s="463" t="s">
        <v>229</v>
      </c>
      <c r="Z13" s="465">
        <v>26.8</v>
      </c>
      <c r="AA13" s="463"/>
      <c r="AB13" s="463"/>
    </row>
    <row r="14" spans="1:16384" s="4" customFormat="1" ht="12.75" customHeight="1">
      <c r="A14" s="17"/>
      <c r="B14" s="18"/>
      <c r="C14" s="18"/>
      <c r="D14" s="261">
        <v>-26</v>
      </c>
      <c r="E14" s="259" t="s">
        <v>468</v>
      </c>
      <c r="F14" s="365"/>
      <c r="G14" s="17">
        <v>44600</v>
      </c>
      <c r="H14" s="18" t="s">
        <v>194</v>
      </c>
      <c r="I14" s="18" t="s">
        <v>203</v>
      </c>
      <c r="J14" s="19">
        <v>56.27</v>
      </c>
      <c r="K14" s="280" t="s">
        <v>517</v>
      </c>
      <c r="M14" s="28"/>
      <c r="N14" s="29"/>
      <c r="O14" s="29"/>
      <c r="P14" s="49"/>
      <c r="Q14" s="29"/>
      <c r="S14" s="368"/>
      <c r="T14" s="29" t="s">
        <v>230</v>
      </c>
      <c r="W14" s="463">
        <v>8</v>
      </c>
      <c r="X14" s="464">
        <v>44513</v>
      </c>
      <c r="Y14" s="463" t="s">
        <v>231</v>
      </c>
      <c r="Z14" s="465">
        <f>20+13.6</f>
        <v>33.6</v>
      </c>
      <c r="AA14" s="463" t="s">
        <v>232</v>
      </c>
      <c r="AB14" s="463"/>
    </row>
    <row r="15" spans="1:16384" s="4" customFormat="1" ht="12.75" customHeight="1">
      <c r="A15" s="17"/>
      <c r="B15" s="18"/>
      <c r="C15" s="18"/>
      <c r="D15" s="22">
        <v>-500</v>
      </c>
      <c r="E15" s="37"/>
      <c r="F15" s="365"/>
      <c r="G15" s="17"/>
      <c r="H15" s="18"/>
      <c r="I15" s="18"/>
      <c r="J15" s="22">
        <v>-77.39</v>
      </c>
      <c r="K15" s="37"/>
      <c r="M15" s="28"/>
      <c r="N15" s="29"/>
      <c r="O15" s="29"/>
      <c r="P15" s="49"/>
      <c r="Q15" s="42"/>
      <c r="S15" s="367" t="s">
        <v>235</v>
      </c>
      <c r="T15" s="29" t="s">
        <v>236</v>
      </c>
      <c r="Z15" s="8"/>
    </row>
    <row r="16" spans="1:16384" s="4" customFormat="1" ht="12.75" customHeight="1">
      <c r="A16" s="17">
        <v>44595</v>
      </c>
      <c r="B16" s="29" t="s">
        <v>188</v>
      </c>
      <c r="C16" s="29" t="s">
        <v>189</v>
      </c>
      <c r="D16" s="20">
        <v>100</v>
      </c>
      <c r="E16" s="259" t="s">
        <v>470</v>
      </c>
      <c r="F16" s="365"/>
      <c r="G16" s="17">
        <v>44605</v>
      </c>
      <c r="H16" s="29" t="s">
        <v>188</v>
      </c>
      <c r="I16" s="29" t="s">
        <v>189</v>
      </c>
      <c r="J16" s="20">
        <v>29.79</v>
      </c>
      <c r="K16" s="17"/>
      <c r="M16" s="50"/>
      <c r="N16" s="29"/>
      <c r="O16" s="29"/>
      <c r="P16" s="49"/>
      <c r="Q16" s="29"/>
      <c r="S16" s="369"/>
      <c r="T16" s="29" t="s">
        <v>239</v>
      </c>
      <c r="Z16" s="8"/>
    </row>
    <row r="17" spans="1:26" s="4" customFormat="1" ht="12.75" customHeight="1">
      <c r="A17" s="17">
        <v>44596</v>
      </c>
      <c r="B17" s="18" t="s">
        <v>212</v>
      </c>
      <c r="C17" s="18" t="s">
        <v>222</v>
      </c>
      <c r="D17" s="20">
        <v>350</v>
      </c>
      <c r="E17" s="259" t="s">
        <v>471</v>
      </c>
      <c r="F17" s="365"/>
      <c r="G17" s="28">
        <v>44605</v>
      </c>
      <c r="H17" s="18" t="s">
        <v>188</v>
      </c>
      <c r="I17" s="18" t="s">
        <v>195</v>
      </c>
      <c r="J17" s="21">
        <v>49.9</v>
      </c>
      <c r="K17" s="36" t="s">
        <v>575</v>
      </c>
      <c r="M17" s="28"/>
      <c r="N17" s="29"/>
      <c r="O17" s="29"/>
      <c r="P17" s="53"/>
      <c r="Q17" s="29"/>
      <c r="S17" s="368"/>
      <c r="T17" s="29" t="s">
        <v>241</v>
      </c>
      <c r="Z17" s="8"/>
    </row>
    <row r="18" spans="1:26" s="4" customFormat="1" ht="12.75" customHeight="1">
      <c r="A18" s="17">
        <v>44597</v>
      </c>
      <c r="B18" s="18" t="s">
        <v>52</v>
      </c>
      <c r="C18" s="18" t="s">
        <v>206</v>
      </c>
      <c r="D18" s="20">
        <v>7.6</v>
      </c>
      <c r="E18" s="18"/>
      <c r="F18" s="365"/>
      <c r="G18" s="28">
        <v>44605</v>
      </c>
      <c r="H18" s="18" t="s">
        <v>212</v>
      </c>
      <c r="I18" s="18" t="s">
        <v>213</v>
      </c>
      <c r="J18" s="21">
        <v>39</v>
      </c>
      <c r="K18" s="18" t="s">
        <v>576</v>
      </c>
      <c r="M18" s="28"/>
      <c r="N18" s="29"/>
      <c r="O18" s="29"/>
      <c r="P18" s="49"/>
      <c r="Q18" s="29"/>
      <c r="S18" s="29" t="s">
        <v>211</v>
      </c>
      <c r="T18" s="29" t="s">
        <v>211</v>
      </c>
      <c r="Z18" s="8"/>
    </row>
    <row r="19" spans="1:26" s="4" customFormat="1" ht="12.75" customHeight="1">
      <c r="A19" s="17">
        <v>44597</v>
      </c>
      <c r="B19" s="18" t="s">
        <v>211</v>
      </c>
      <c r="C19" s="18" t="s">
        <v>211</v>
      </c>
      <c r="D19" s="20">
        <f>10+3.9+5+3+5</f>
        <v>26.9</v>
      </c>
      <c r="E19" s="18"/>
      <c r="F19" s="365"/>
      <c r="G19" s="17">
        <v>44605</v>
      </c>
      <c r="H19" s="18" t="s">
        <v>52</v>
      </c>
      <c r="I19" s="18" t="s">
        <v>215</v>
      </c>
      <c r="J19" s="20">
        <v>22.7</v>
      </c>
      <c r="K19" s="18" t="s">
        <v>577</v>
      </c>
      <c r="M19" s="28"/>
      <c r="N19" s="29"/>
      <c r="O19" s="29"/>
      <c r="P19" s="49"/>
      <c r="Q19" s="29"/>
      <c r="S19" s="367" t="s">
        <v>212</v>
      </c>
      <c r="T19" s="29" t="s">
        <v>213</v>
      </c>
      <c r="Z19" s="8"/>
    </row>
    <row r="20" spans="1:26" s="4" customFormat="1" ht="12.75" customHeight="1">
      <c r="A20" s="28"/>
      <c r="B20" s="29"/>
      <c r="C20" s="29"/>
      <c r="D20" s="30">
        <v>16</v>
      </c>
      <c r="E20" s="259" t="s">
        <v>478</v>
      </c>
      <c r="F20" s="365"/>
      <c r="G20" s="28">
        <v>44605</v>
      </c>
      <c r="H20" s="25" t="s">
        <v>194</v>
      </c>
      <c r="I20" s="25" t="s">
        <v>203</v>
      </c>
      <c r="J20" s="26">
        <v>89.74</v>
      </c>
      <c r="K20" s="25" t="s">
        <v>578</v>
      </c>
      <c r="M20" s="28"/>
      <c r="N20" s="29"/>
      <c r="O20" s="29"/>
      <c r="P20" s="49"/>
      <c r="Q20" s="29"/>
      <c r="S20" s="368"/>
      <c r="T20" s="29" t="s">
        <v>222</v>
      </c>
      <c r="Z20" s="8"/>
    </row>
    <row r="21" spans="1:26" s="4" customFormat="1" ht="12.75" customHeight="1">
      <c r="A21" s="29"/>
      <c r="B21" s="29"/>
      <c r="C21" s="29"/>
      <c r="D21" s="210">
        <v>-497.2</v>
      </c>
      <c r="E21" s="265" t="s">
        <v>479</v>
      </c>
      <c r="F21" s="365"/>
      <c r="G21" s="17"/>
      <c r="H21" s="18"/>
      <c r="I21" s="18"/>
      <c r="J21" s="19"/>
      <c r="K21" s="35"/>
      <c r="M21" s="28"/>
      <c r="N21" s="29"/>
      <c r="O21" s="29"/>
      <c r="P21" s="49"/>
      <c r="Q21" s="29"/>
      <c r="S21" s="29" t="s">
        <v>201</v>
      </c>
      <c r="T21" s="29" t="s">
        <v>201</v>
      </c>
      <c r="Z21" s="8"/>
    </row>
    <row r="22" spans="1:26" s="4" customFormat="1" ht="12.75" customHeight="1">
      <c r="A22" s="42">
        <v>44601</v>
      </c>
      <c r="B22" s="29" t="s">
        <v>188</v>
      </c>
      <c r="C22" s="29" t="s">
        <v>189</v>
      </c>
      <c r="D22" s="29">
        <f>22.6+2</f>
        <v>24.6</v>
      </c>
      <c r="E22" s="259" t="s">
        <v>511</v>
      </c>
      <c r="F22" s="33"/>
      <c r="G22" s="17"/>
      <c r="H22" s="18"/>
      <c r="I22" s="18"/>
      <c r="J22" s="20"/>
      <c r="K22" s="35"/>
      <c r="M22" s="28"/>
      <c r="N22" s="29"/>
      <c r="O22" s="29"/>
      <c r="P22" s="49"/>
      <c r="Q22" s="29"/>
      <c r="Z22" s="8"/>
    </row>
    <row r="23" spans="1:26" s="4" customFormat="1" ht="12.75" customHeight="1">
      <c r="A23" s="28">
        <v>44602</v>
      </c>
      <c r="B23" s="29" t="s">
        <v>227</v>
      </c>
      <c r="C23" s="29" t="s">
        <v>230</v>
      </c>
      <c r="D23" s="30">
        <v>70</v>
      </c>
      <c r="E23" s="259" t="s">
        <v>472</v>
      </c>
      <c r="F23" s="365"/>
      <c r="G23" s="17"/>
      <c r="H23" s="18"/>
      <c r="I23" s="18"/>
      <c r="J23" s="19"/>
      <c r="K23" s="35"/>
      <c r="M23" s="28"/>
      <c r="N23" s="29"/>
      <c r="O23" s="29"/>
      <c r="P23" s="49"/>
      <c r="Q23" s="29"/>
      <c r="Z23" s="8"/>
    </row>
    <row r="24" spans="1:26" s="4" customFormat="1" ht="12.75" customHeight="1">
      <c r="A24" s="17">
        <v>44603</v>
      </c>
      <c r="B24" s="29" t="s">
        <v>188</v>
      </c>
      <c r="C24" s="29" t="s">
        <v>189</v>
      </c>
      <c r="D24" s="21">
        <v>92</v>
      </c>
      <c r="E24" s="279" t="s">
        <v>512</v>
      </c>
      <c r="F24" s="365"/>
      <c r="G24" s="17"/>
      <c r="H24" s="18"/>
      <c r="I24" s="18"/>
      <c r="J24" s="20"/>
      <c r="K24" s="18"/>
      <c r="M24" s="28"/>
      <c r="N24" s="29"/>
      <c r="O24" s="29"/>
      <c r="Q24" s="29"/>
      <c r="Z24" s="8"/>
    </row>
    <row r="25" spans="1:26" s="4" customFormat="1" ht="12.75" customHeight="1">
      <c r="A25" s="17">
        <v>44603</v>
      </c>
      <c r="B25" s="29" t="s">
        <v>188</v>
      </c>
      <c r="C25" s="29" t="s">
        <v>189</v>
      </c>
      <c r="D25" s="21">
        <f>49+5</f>
        <v>54</v>
      </c>
      <c r="E25" s="259" t="s">
        <v>513</v>
      </c>
      <c r="F25" s="33"/>
      <c r="G25" s="17"/>
      <c r="H25" s="18"/>
      <c r="I25" s="18"/>
      <c r="J25" s="19"/>
      <c r="K25" s="18"/>
      <c r="M25" s="28"/>
      <c r="N25" s="29"/>
      <c r="O25" s="29"/>
      <c r="P25" s="49"/>
      <c r="Q25" s="29"/>
      <c r="Z25" s="8"/>
    </row>
    <row r="26" spans="1:26" s="4" customFormat="1" ht="12.75" customHeight="1">
      <c r="A26" s="17">
        <v>44603</v>
      </c>
      <c r="B26" s="29" t="s">
        <v>188</v>
      </c>
      <c r="C26" s="29" t="s">
        <v>189</v>
      </c>
      <c r="D26" s="21">
        <v>17</v>
      </c>
      <c r="E26" s="279" t="s">
        <v>514</v>
      </c>
      <c r="F26" s="33"/>
      <c r="G26" s="39"/>
      <c r="H26" s="37"/>
      <c r="I26" s="37"/>
      <c r="J26" s="44"/>
      <c r="K26" s="45"/>
      <c r="M26" s="54"/>
      <c r="N26" s="29"/>
      <c r="O26" s="29"/>
      <c r="P26" s="49"/>
      <c r="Q26" s="61"/>
      <c r="Z26" s="8"/>
    </row>
    <row r="27" spans="1:26" s="4" customFormat="1" ht="12.75" customHeight="1">
      <c r="A27" s="17">
        <v>44604</v>
      </c>
      <c r="B27" s="29" t="s">
        <v>211</v>
      </c>
      <c r="C27" s="29" t="s">
        <v>211</v>
      </c>
      <c r="D27" s="21">
        <v>5</v>
      </c>
      <c r="E27" s="259" t="s">
        <v>515</v>
      </c>
      <c r="G27" s="17"/>
      <c r="H27" s="18"/>
      <c r="I27" s="18"/>
      <c r="J27" s="23"/>
      <c r="K27" s="35"/>
      <c r="M27" s="54"/>
      <c r="N27" s="29"/>
      <c r="O27" s="29"/>
      <c r="P27" s="49"/>
      <c r="Q27" s="62"/>
      <c r="Z27" s="8"/>
    </row>
    <row r="28" spans="1:26" s="4" customFormat="1" ht="12.75" customHeight="1">
      <c r="A28" s="17">
        <v>44605</v>
      </c>
      <c r="B28" s="29" t="s">
        <v>188</v>
      </c>
      <c r="C28" s="29" t="s">
        <v>189</v>
      </c>
      <c r="D28" s="21">
        <v>5</v>
      </c>
      <c r="E28" s="18"/>
      <c r="G28" s="17"/>
      <c r="H28" s="18"/>
      <c r="I28" s="18"/>
      <c r="J28" s="19"/>
      <c r="K28" s="35"/>
      <c r="M28" s="28"/>
      <c r="N28" s="29"/>
      <c r="O28" s="29"/>
      <c r="P28" s="55"/>
      <c r="Q28" s="29"/>
      <c r="Z28" s="8"/>
    </row>
    <row r="29" spans="1:26" s="4" customFormat="1" ht="12.75" customHeight="1">
      <c r="A29" s="17">
        <v>44605</v>
      </c>
      <c r="B29" s="18" t="s">
        <v>212</v>
      </c>
      <c r="C29" s="18" t="s">
        <v>222</v>
      </c>
      <c r="D29" s="21">
        <v>115</v>
      </c>
      <c r="E29" s="18" t="s">
        <v>574</v>
      </c>
      <c r="G29" s="17"/>
      <c r="H29" s="18"/>
      <c r="I29" s="18"/>
      <c r="J29" s="19"/>
      <c r="K29" s="35"/>
      <c r="M29" s="28"/>
      <c r="N29" s="29"/>
      <c r="O29" s="29"/>
      <c r="P29" s="55"/>
      <c r="Q29" s="29"/>
      <c r="Z29" s="8"/>
    </row>
    <row r="30" spans="1:26" s="4" customFormat="1" ht="12.75" customHeight="1">
      <c r="A30" s="17">
        <v>44606</v>
      </c>
      <c r="B30" s="29" t="s">
        <v>188</v>
      </c>
      <c r="C30" s="29" t="s">
        <v>189</v>
      </c>
      <c r="D30" s="21">
        <v>30</v>
      </c>
      <c r="E30" s="18"/>
      <c r="G30" s="17"/>
      <c r="H30" s="18"/>
      <c r="I30" s="18"/>
      <c r="J30" s="19"/>
      <c r="K30" s="35"/>
      <c r="M30" s="28"/>
      <c r="N30" s="29"/>
      <c r="O30" s="29"/>
      <c r="P30" s="55"/>
      <c r="Q30" s="29"/>
      <c r="Z30" s="8"/>
    </row>
    <row r="31" spans="1:26" s="4" customFormat="1" ht="12.75" customHeight="1">
      <c r="A31" s="24">
        <v>44608</v>
      </c>
      <c r="B31" s="29" t="s">
        <v>188</v>
      </c>
      <c r="C31" s="29" t="s">
        <v>189</v>
      </c>
      <c r="D31" s="26">
        <v>44.9</v>
      </c>
      <c r="E31" s="25" t="s">
        <v>573</v>
      </c>
      <c r="G31" s="17"/>
      <c r="H31" s="18"/>
      <c r="I31" s="18"/>
      <c r="J31" s="19"/>
      <c r="K31" s="18"/>
      <c r="M31" s="28"/>
      <c r="N31" s="29"/>
      <c r="O31" s="29"/>
      <c r="P31" s="55"/>
      <c r="Q31" s="29"/>
      <c r="Z31" s="8"/>
    </row>
    <row r="32" spans="1:26" s="4" customFormat="1" ht="12.75" customHeight="1">
      <c r="A32" s="17"/>
      <c r="B32" s="18"/>
      <c r="C32" s="18"/>
      <c r="D32" s="27"/>
      <c r="E32" s="36"/>
      <c r="G32" s="17"/>
      <c r="H32" s="18"/>
      <c r="I32" s="18"/>
      <c r="J32" s="19"/>
      <c r="K32" s="18"/>
      <c r="M32" s="56" t="s">
        <v>251</v>
      </c>
      <c r="N32" s="362">
        <f>SUM(P7:P31)</f>
        <v>359</v>
      </c>
      <c r="O32" s="362"/>
      <c r="P32" s="362"/>
      <c r="Q32" s="362"/>
      <c r="Z32" s="8"/>
    </row>
    <row r="33" spans="1:26" s="4" customFormat="1" ht="12.75" customHeight="1">
      <c r="A33" s="17"/>
      <c r="B33" s="18"/>
      <c r="C33" s="18"/>
      <c r="D33" s="20"/>
      <c r="E33" s="36"/>
      <c r="G33" s="17"/>
      <c r="H33" s="18"/>
      <c r="I33" s="18"/>
      <c r="J33" s="19"/>
      <c r="K33" s="18"/>
      <c r="M33" s="5"/>
      <c r="P33" s="3"/>
      <c r="Z33" s="8"/>
    </row>
    <row r="34" spans="1:26" s="4" customFormat="1" ht="12.75" customHeight="1">
      <c r="A34" s="17"/>
      <c r="B34" s="18"/>
      <c r="C34" s="18"/>
      <c r="D34" s="21"/>
      <c r="E34" s="18"/>
      <c r="G34" s="17"/>
      <c r="H34" s="18"/>
      <c r="I34" s="18"/>
      <c r="J34" s="19"/>
      <c r="K34" s="18"/>
      <c r="M34" s="5"/>
      <c r="P34" s="3"/>
      <c r="Z34" s="8"/>
    </row>
    <row r="35" spans="1:26" s="4" customFormat="1" ht="12.75" customHeight="1">
      <c r="A35" s="17"/>
      <c r="B35" s="18"/>
      <c r="C35" s="18"/>
      <c r="D35" s="21"/>
      <c r="E35" s="18"/>
      <c r="G35" s="17"/>
      <c r="H35" s="18"/>
      <c r="I35" s="18"/>
      <c r="J35" s="20"/>
      <c r="K35" s="17"/>
      <c r="M35" s="5"/>
      <c r="P35" s="3"/>
      <c r="Z35" s="8"/>
    </row>
    <row r="36" spans="1:26" s="4" customFormat="1" ht="12.75" customHeight="1">
      <c r="A36" s="17"/>
      <c r="B36" s="18"/>
      <c r="C36" s="18"/>
      <c r="D36" s="21"/>
      <c r="E36" s="18"/>
      <c r="G36" s="17"/>
      <c r="H36" s="18"/>
      <c r="I36" s="18"/>
      <c r="J36" s="20"/>
      <c r="K36" s="18"/>
      <c r="M36" s="5"/>
      <c r="P36" s="3"/>
      <c r="Z36" s="8"/>
    </row>
    <row r="37" spans="1:26" s="4" customFormat="1" ht="12.75" customHeight="1">
      <c r="A37" s="17"/>
      <c r="B37" s="18"/>
      <c r="C37" s="18"/>
      <c r="D37" s="20"/>
      <c r="E37" s="36"/>
      <c r="G37" s="17"/>
      <c r="H37" s="18"/>
      <c r="I37" s="18"/>
      <c r="J37" s="19"/>
      <c r="K37" s="18"/>
      <c r="M37" s="5"/>
      <c r="P37" s="3"/>
      <c r="Z37" s="8"/>
    </row>
    <row r="38" spans="1:26" s="4" customFormat="1" ht="12.75" customHeight="1">
      <c r="A38" s="17"/>
      <c r="B38" s="18"/>
      <c r="C38" s="18"/>
      <c r="D38" s="20"/>
      <c r="E38" s="36"/>
      <c r="G38" s="40"/>
      <c r="H38" s="18"/>
      <c r="I38" s="18"/>
      <c r="J38" s="19"/>
      <c r="K38" s="18"/>
      <c r="M38" s="5"/>
      <c r="P38" s="3"/>
      <c r="Z38" s="8"/>
    </row>
    <row r="39" spans="1:26" s="4" customFormat="1" ht="12.75" customHeight="1">
      <c r="A39" s="17"/>
      <c r="B39" s="18"/>
      <c r="C39" s="18"/>
      <c r="D39" s="20"/>
      <c r="E39" s="18"/>
      <c r="G39" s="40"/>
      <c r="H39" s="18"/>
      <c r="I39" s="18"/>
      <c r="J39" s="19"/>
      <c r="K39" s="18"/>
      <c r="M39" s="5"/>
      <c r="P39" s="3"/>
      <c r="Z39" s="8"/>
    </row>
    <row r="40" spans="1:26" s="4" customFormat="1" ht="12.75" customHeight="1">
      <c r="A40" s="17"/>
      <c r="B40" s="18"/>
      <c r="C40" s="18"/>
      <c r="D40" s="20"/>
      <c r="E40" s="18"/>
      <c r="G40" s="40"/>
      <c r="H40" s="18"/>
      <c r="I40" s="18"/>
      <c r="J40" s="19"/>
      <c r="K40" s="18"/>
      <c r="M40" s="5"/>
      <c r="P40" s="3"/>
      <c r="Z40" s="8"/>
    </row>
    <row r="41" spans="1:26" s="4" customFormat="1" ht="12.75" customHeight="1">
      <c r="A41" s="17"/>
      <c r="B41" s="18"/>
      <c r="C41" s="18"/>
      <c r="D41" s="20"/>
      <c r="E41" s="17"/>
      <c r="G41" s="40"/>
      <c r="H41" s="18"/>
      <c r="I41" s="18"/>
      <c r="J41" s="19"/>
      <c r="K41" s="18"/>
      <c r="M41" s="5"/>
      <c r="P41" s="3"/>
      <c r="Z41" s="8"/>
    </row>
    <row r="42" spans="1:26" s="4" customFormat="1" ht="12.75" customHeight="1">
      <c r="A42" s="17"/>
      <c r="B42" s="18"/>
      <c r="C42" s="18"/>
      <c r="D42" s="20"/>
      <c r="E42" s="36"/>
      <c r="G42" s="40"/>
      <c r="H42" s="18"/>
      <c r="I42" s="18"/>
      <c r="J42" s="19"/>
      <c r="K42" s="18"/>
      <c r="M42" s="5"/>
      <c r="P42" s="3"/>
      <c r="Z42" s="8"/>
    </row>
    <row r="43" spans="1:26" s="4" customFormat="1" ht="12.75" customHeight="1">
      <c r="A43" s="17"/>
      <c r="B43" s="18"/>
      <c r="C43" s="18"/>
      <c r="D43" s="20"/>
      <c r="E43" s="36"/>
      <c r="G43" s="40"/>
      <c r="H43" s="18"/>
      <c r="I43" s="18"/>
      <c r="J43" s="19"/>
      <c r="K43" s="18"/>
      <c r="M43" s="5"/>
      <c r="P43" s="3"/>
      <c r="Z43" s="8"/>
    </row>
    <row r="44" spans="1:26" s="4" customFormat="1" ht="12.75" customHeight="1">
      <c r="A44" s="17"/>
      <c r="B44" s="18"/>
      <c r="C44" s="18"/>
      <c r="D44" s="20"/>
      <c r="E44" s="18"/>
      <c r="G44" s="40"/>
      <c r="H44" s="18"/>
      <c r="I44" s="18"/>
      <c r="J44" s="19"/>
      <c r="K44" s="18"/>
      <c r="M44" s="5"/>
      <c r="P44" s="3"/>
      <c r="Z44" s="8"/>
    </row>
    <row r="45" spans="1:26" s="4" customFormat="1" ht="12.75" customHeight="1">
      <c r="A45" s="17"/>
      <c r="B45" s="18"/>
      <c r="C45" s="18"/>
      <c r="D45" s="20"/>
      <c r="E45" s="36"/>
      <c r="G45" s="40"/>
      <c r="H45" s="18"/>
      <c r="I45" s="18"/>
      <c r="J45" s="19"/>
      <c r="K45" s="18"/>
      <c r="M45" s="5"/>
      <c r="P45" s="3"/>
      <c r="Z45" s="8"/>
    </row>
    <row r="46" spans="1:26" s="4" customFormat="1" ht="12.75" customHeight="1">
      <c r="A46" s="17"/>
      <c r="B46" s="18"/>
      <c r="C46" s="18"/>
      <c r="D46" s="20"/>
      <c r="E46" s="36"/>
      <c r="G46" s="40"/>
      <c r="H46" s="18"/>
      <c r="I46" s="18"/>
      <c r="J46" s="19"/>
      <c r="K46" s="18"/>
      <c r="M46" s="5"/>
      <c r="P46" s="3"/>
      <c r="Z46" s="8"/>
    </row>
    <row r="47" spans="1:26" s="4" customFormat="1" ht="12.75" customHeight="1">
      <c r="A47" s="17"/>
      <c r="B47" s="18"/>
      <c r="C47" s="18"/>
      <c r="D47" s="20"/>
      <c r="E47" s="36"/>
      <c r="G47" s="40"/>
      <c r="H47" s="18"/>
      <c r="I47" s="18"/>
      <c r="J47" s="19"/>
      <c r="K47" s="18"/>
      <c r="M47" s="5"/>
      <c r="P47" s="3"/>
      <c r="Z47" s="8"/>
    </row>
    <row r="48" spans="1:26" s="4" customFormat="1" ht="12.75" customHeight="1">
      <c r="A48" s="17"/>
      <c r="B48" s="18"/>
      <c r="C48" s="18"/>
      <c r="D48" s="20"/>
      <c r="E48" s="36"/>
      <c r="G48" s="38"/>
      <c r="H48" s="25"/>
      <c r="I48" s="25"/>
      <c r="J48" s="26"/>
      <c r="K48" s="18"/>
      <c r="M48" s="264"/>
      <c r="P48" s="3"/>
      <c r="Z48" s="8"/>
    </row>
    <row r="49" spans="1:26 16380:16381" s="4" customFormat="1" ht="12.75" customHeight="1">
      <c r="A49" s="17"/>
      <c r="B49" s="18"/>
      <c r="C49" s="18"/>
      <c r="D49" s="20"/>
      <c r="E49" s="36"/>
      <c r="G49" s="41"/>
      <c r="H49" s="18"/>
      <c r="I49" s="18"/>
      <c r="J49" s="46"/>
      <c r="K49" s="18"/>
      <c r="M49" s="264"/>
      <c r="P49" s="3"/>
      <c r="Z49" s="8"/>
    </row>
    <row r="50" spans="1:26 16380:16381" s="4" customFormat="1" ht="12.75" customHeight="1">
      <c r="A50" s="28"/>
      <c r="B50" s="29"/>
      <c r="C50" s="29"/>
      <c r="D50" s="30"/>
      <c r="E50" s="42"/>
      <c r="G50" s="41"/>
      <c r="H50" s="18"/>
      <c r="I50" s="18"/>
      <c r="J50" s="46"/>
      <c r="K50" s="18"/>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3" t="s">
        <v>271</v>
      </c>
      <c r="G54" s="10"/>
      <c r="J54" s="47"/>
      <c r="M54" s="10"/>
      <c r="P54" s="47"/>
      <c r="Z54" s="69"/>
      <c r="XEZ54" s="78"/>
      <c r="XFA54" s="78"/>
    </row>
    <row r="55" spans="1:26 16380:16381" s="4" customFormat="1" ht="12.75" customHeight="1">
      <c r="A55" s="32" t="s">
        <v>189</v>
      </c>
      <c r="B55" s="30">
        <f t="shared" ref="B55:B70" si="0">SUM(C55:E55)</f>
        <v>979.1</v>
      </c>
      <c r="C55" s="210">
        <f>SUMIF($C$7:$C$50,A55,$D$7:$D50)</f>
        <v>450</v>
      </c>
      <c r="D55" s="30">
        <f t="shared" ref="D55:D70" si="1">SUMIF($I$7:$I$50,A55,$J$7:$J$50)</f>
        <v>232.7</v>
      </c>
      <c r="E55" s="30">
        <f t="shared" ref="E55:E70" si="2">SUMIF($O$7:$O$50,A55,$P$7:$P$50)</f>
        <v>296.39999999999998</v>
      </c>
      <c r="G55" s="5"/>
      <c r="J55" s="3"/>
      <c r="M55" s="5"/>
      <c r="P55" s="3"/>
      <c r="Z55" s="8"/>
      <c r="XEZ55" s="9"/>
      <c r="XFA55" s="9"/>
    </row>
    <row r="56" spans="1:26 16380:16381" s="4" customFormat="1" ht="12.75" customHeight="1">
      <c r="A56" s="32" t="s">
        <v>195</v>
      </c>
      <c r="B56" s="30">
        <f t="shared" si="0"/>
        <v>157.1</v>
      </c>
      <c r="C56" s="30">
        <f>SUMIF($C$7:$C$50,A56,$D$7:$D50)</f>
        <v>107.2</v>
      </c>
      <c r="D56" s="30">
        <f t="shared" si="1"/>
        <v>49.9</v>
      </c>
      <c r="E56" s="30">
        <f t="shared" si="2"/>
        <v>0</v>
      </c>
      <c r="G56" s="5"/>
      <c r="J56" s="3"/>
      <c r="M56" s="5"/>
      <c r="P56" s="3"/>
      <c r="Z56" s="8"/>
      <c r="XEZ56" s="9"/>
      <c r="XFA56" s="9"/>
    </row>
    <row r="57" spans="1:26 16380:16381" s="4" customFormat="1" ht="12.75" customHeight="1">
      <c r="A57" s="32" t="s">
        <v>203</v>
      </c>
      <c r="B57" s="30">
        <f t="shared" si="0"/>
        <v>146.01</v>
      </c>
      <c r="C57" s="30">
        <f>SUMIF($C$7:$C$50,A57,$D$7:$D51)</f>
        <v>0</v>
      </c>
      <c r="D57" s="30">
        <f t="shared" si="1"/>
        <v>146.01</v>
      </c>
      <c r="E57" s="30">
        <f t="shared" si="2"/>
        <v>0</v>
      </c>
      <c r="G57" s="5"/>
      <c r="J57" s="3"/>
      <c r="M57" s="5"/>
      <c r="P57" s="3"/>
      <c r="Z57" s="8"/>
      <c r="XEZ57" s="9"/>
      <c r="XFA57" s="9"/>
    </row>
    <row r="58" spans="1:26 16380:16381" s="4" customFormat="1" ht="12.75" customHeight="1">
      <c r="A58" s="32" t="s">
        <v>206</v>
      </c>
      <c r="B58" s="30">
        <f t="shared" si="0"/>
        <v>17.5</v>
      </c>
      <c r="C58" s="30">
        <f>SUMIF($C$7:$C$50,A58,$D$7:$D52)</f>
        <v>7.6</v>
      </c>
      <c r="D58" s="30">
        <f t="shared" si="1"/>
        <v>9.9</v>
      </c>
      <c r="E58" s="30">
        <f t="shared" si="2"/>
        <v>0</v>
      </c>
      <c r="G58" s="5"/>
      <c r="J58" s="3"/>
      <c r="M58" s="5"/>
      <c r="P58" s="3"/>
      <c r="Z58" s="8"/>
      <c r="XEZ58" s="9"/>
      <c r="XFA58" s="9"/>
    </row>
    <row r="59" spans="1:26 16380:16381" s="4" customFormat="1" ht="12.75" customHeight="1">
      <c r="A59" s="32" t="s">
        <v>215</v>
      </c>
      <c r="B59" s="30">
        <f t="shared" si="0"/>
        <v>22.7</v>
      </c>
      <c r="C59" s="30">
        <f>SUMIF($C$7:$C$50,A59,$D$7:$D53)</f>
        <v>0</v>
      </c>
      <c r="D59" s="30">
        <f t="shared" si="1"/>
        <v>22.7</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0</v>
      </c>
      <c r="C62" s="30">
        <f>SUMIF($C$7:$C$50,A62,$D$7:$D56)</f>
        <v>0</v>
      </c>
      <c r="D62" s="30">
        <f t="shared" si="1"/>
        <v>0</v>
      </c>
      <c r="E62" s="30">
        <f t="shared" si="2"/>
        <v>0</v>
      </c>
      <c r="G62" s="5"/>
      <c r="J62" s="3"/>
      <c r="M62" s="5"/>
      <c r="P62" s="3"/>
      <c r="Z62" s="8"/>
      <c r="XEZ62" s="9"/>
      <c r="XFA62" s="9"/>
    </row>
    <row r="63" spans="1:26 16380:16381" s="4" customFormat="1" ht="12.75" customHeight="1">
      <c r="A63" s="32" t="s">
        <v>230</v>
      </c>
      <c r="B63" s="30">
        <f t="shared" si="0"/>
        <v>105</v>
      </c>
      <c r="C63" s="30">
        <f>SUMIF($C$7:$C$50,A63,$D$7:$D57)</f>
        <v>70</v>
      </c>
      <c r="D63" s="30">
        <f t="shared" si="1"/>
        <v>35</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0</v>
      </c>
      <c r="C66" s="30">
        <f>SUMIF($C$7:$C$50,A66,$D$7:$D60)</f>
        <v>0</v>
      </c>
      <c r="D66" s="30">
        <f t="shared" si="1"/>
        <v>0</v>
      </c>
      <c r="E66" s="30">
        <f t="shared" si="2"/>
        <v>0</v>
      </c>
      <c r="G66" s="5"/>
      <c r="J66" s="3"/>
      <c r="M66" s="5"/>
      <c r="P66" s="3"/>
      <c r="Z66" s="8"/>
      <c r="XEZ66" s="9"/>
      <c r="XFA66" s="9"/>
      <c r="XFB66" s="9"/>
      <c r="XFC66" s="9"/>
      <c r="XFD66" s="9"/>
    </row>
    <row r="67" spans="1:26 16380:16384" s="4" customFormat="1" ht="12.75" customHeight="1">
      <c r="A67" s="32" t="s">
        <v>211</v>
      </c>
      <c r="B67" s="30">
        <f t="shared" si="0"/>
        <v>86.9</v>
      </c>
      <c r="C67" s="30">
        <f>SUMIF($C$7:$C$50,A67,$D$7:$D61)</f>
        <v>86.9</v>
      </c>
      <c r="D67" s="30">
        <f t="shared" si="1"/>
        <v>0</v>
      </c>
      <c r="E67" s="30">
        <f t="shared" si="2"/>
        <v>0</v>
      </c>
      <c r="G67" s="5"/>
      <c r="J67" s="3"/>
      <c r="M67" s="5"/>
      <c r="P67" s="3"/>
      <c r="Z67" s="8"/>
      <c r="XEZ67" s="9"/>
      <c r="XFA67" s="9"/>
      <c r="XFB67" s="9"/>
      <c r="XFC67" s="9"/>
      <c r="XFD67" s="9"/>
    </row>
    <row r="68" spans="1:26 16380:16384" s="4" customFormat="1" ht="12.75" customHeight="1">
      <c r="A68" s="32" t="s">
        <v>213</v>
      </c>
      <c r="B68" s="30">
        <f t="shared" si="0"/>
        <v>817</v>
      </c>
      <c r="C68" s="210">
        <f>SUMIF($C$7:$C$50,A68,$D$7:$D62)</f>
        <v>778</v>
      </c>
      <c r="D68" s="30">
        <f t="shared" si="1"/>
        <v>39</v>
      </c>
      <c r="E68" s="30">
        <f t="shared" si="2"/>
        <v>0</v>
      </c>
      <c r="G68" s="5"/>
      <c r="J68" s="3"/>
      <c r="M68" s="5"/>
      <c r="P68" s="3"/>
      <c r="Z68" s="8"/>
      <c r="XEZ68" s="9"/>
      <c r="XFA68" s="9"/>
      <c r="XFB68" s="9"/>
      <c r="XFC68" s="9"/>
      <c r="XFD68" s="9"/>
    </row>
    <row r="69" spans="1:26 16380:16384" s="4" customFormat="1" ht="12.75" customHeight="1">
      <c r="A69" s="32" t="s">
        <v>222</v>
      </c>
      <c r="B69" s="30">
        <f t="shared" si="0"/>
        <v>527.6</v>
      </c>
      <c r="C69" s="30">
        <f>SUMIF($C$7:$C$50,A69,$D$7:$D63)</f>
        <v>465</v>
      </c>
      <c r="D69" s="30">
        <f t="shared" si="1"/>
        <v>0</v>
      </c>
      <c r="E69" s="30">
        <f t="shared" si="2"/>
        <v>62.6</v>
      </c>
      <c r="G69" s="5"/>
      <c r="J69" s="3"/>
      <c r="M69" s="5"/>
      <c r="P69" s="3"/>
      <c r="Z69" s="8"/>
      <c r="XEZ69" s="9"/>
      <c r="XFA69" s="9"/>
      <c r="XFB69" s="9"/>
      <c r="XFC69" s="9"/>
      <c r="XFD69" s="9"/>
    </row>
    <row r="70" spans="1:26 16380:16384" s="4" customFormat="1" ht="12.75" customHeight="1">
      <c r="A70" s="32" t="s">
        <v>201</v>
      </c>
      <c r="B70" s="30">
        <f t="shared" si="0"/>
        <v>0</v>
      </c>
      <c r="C70" s="30">
        <f>SUMIF($C$7:$C$50,A70,$D$7:$D64)</f>
        <v>0</v>
      </c>
      <c r="D70" s="30">
        <f t="shared" si="1"/>
        <v>0</v>
      </c>
      <c r="E70" s="30">
        <f t="shared" si="2"/>
        <v>0</v>
      </c>
      <c r="G70" s="5"/>
      <c r="J70" s="3"/>
      <c r="M70" s="5"/>
      <c r="P70" s="3"/>
      <c r="Z70" s="8"/>
      <c r="XEZ70" s="9"/>
      <c r="XFA70" s="9"/>
      <c r="XFB70" s="9"/>
      <c r="XFC70" s="9"/>
      <c r="XFD70" s="9"/>
    </row>
    <row r="71" spans="1:26 16380:16384" s="3" customFormat="1" ht="35" customHeight="1">
      <c r="A71" s="64" t="s">
        <v>251</v>
      </c>
      <c r="B71" s="30">
        <f>SUM(B55:B70)</f>
        <v>2858.9100000000003</v>
      </c>
      <c r="C71" s="30">
        <f>SUM(C55:C70)</f>
        <v>1964.7</v>
      </c>
      <c r="D71" s="30">
        <f>SUM(D55:D70)</f>
        <v>535.20999999999992</v>
      </c>
      <c r="E71" s="30">
        <f>SUM(E55:E70)</f>
        <v>359</v>
      </c>
      <c r="XEZ71" s="79"/>
      <c r="XFA71" s="79"/>
      <c r="XFB71" s="79"/>
      <c r="XFC71" s="79"/>
      <c r="XFD71" s="79"/>
    </row>
    <row r="72" spans="1:26 16380:16384" s="4" customFormat="1" ht="12.75" customHeight="1">
      <c r="A72" s="5"/>
      <c r="D72" s="6"/>
      <c r="E72" s="7"/>
      <c r="G72" s="5"/>
      <c r="J72" s="3"/>
      <c r="M72" s="5"/>
      <c r="P72" s="3"/>
      <c r="Z72" s="8"/>
      <c r="XEZ72" s="9"/>
      <c r="XFA72" s="9"/>
      <c r="XFB72" s="9"/>
      <c r="XFC72" s="9"/>
      <c r="XFD72" s="9"/>
    </row>
  </sheetData>
  <mergeCells count="25">
    <mergeCell ref="S19:S20"/>
    <mergeCell ref="A1:E2"/>
    <mergeCell ref="G1:K2"/>
    <mergeCell ref="M1:Q2"/>
    <mergeCell ref="H5:J5"/>
    <mergeCell ref="N5:P5"/>
    <mergeCell ref="S9:S12"/>
    <mergeCell ref="S13:S14"/>
    <mergeCell ref="S15:S17"/>
    <mergeCell ref="W5:AB5"/>
    <mergeCell ref="X7:AB7"/>
    <mergeCell ref="S7:S8"/>
    <mergeCell ref="N32:Q32"/>
    <mergeCell ref="A5:A6"/>
    <mergeCell ref="E5:E6"/>
    <mergeCell ref="F11:F12"/>
    <mergeCell ref="F13:F16"/>
    <mergeCell ref="F17:F18"/>
    <mergeCell ref="F19:F21"/>
    <mergeCell ref="F23:F24"/>
    <mergeCell ref="G5:G6"/>
    <mergeCell ref="K5:K6"/>
    <mergeCell ref="M5:M6"/>
    <mergeCell ref="Q5:Q6"/>
    <mergeCell ref="B5:D5"/>
  </mergeCells>
  <phoneticPr fontId="30" type="noConversion"/>
  <dataValidations count="2">
    <dataValidation type="list" allowBlank="1" showInputMessage="1" showErrorMessage="1" sqref="B7:B20 N7:N31 B22:B50 H7:H50" xr:uid="{00000000-0002-0000-0A00-000000000000}">
      <formula1>"日常消费,妆服费,学习,医疗,房租水电,交通,交际,其他"</formula1>
    </dataValidation>
    <dataValidation type="list" allowBlank="1" showInputMessage="1" showErrorMessage="1" sqref="C7:C20 O7:O31 C22:C50 I7:I50" xr:uid="{00000000-0002-0000-0A00-000001000000}">
      <formula1>$T$6:$T$21</formula1>
    </dataValidation>
  </dataValidations>
  <pageMargins left="0.75" right="0.75" top="1" bottom="1" header="0.51180555555555596" footer="0.5118055555555559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19"/>
  <sheetViews>
    <sheetView showGridLines="0" workbookViewId="0">
      <pane xSplit="3" topLeftCell="D1" activePane="topRight" state="frozen"/>
      <selection activeCell="M7" sqref="M7:M17"/>
      <selection pane="topRight" activeCell="M7" sqref="M7:M17"/>
    </sheetView>
  </sheetViews>
  <sheetFormatPr baseColWidth="10" defaultColWidth="11.6640625" defaultRowHeight="15"/>
  <cols>
    <col min="1" max="1" width="21" style="181" customWidth="1"/>
    <col min="2" max="2" width="8.1640625" style="181" customWidth="1"/>
    <col min="3" max="3" width="14.83203125" style="183" customWidth="1"/>
    <col min="4" max="4" width="8" style="184" customWidth="1"/>
    <col min="5" max="5" width="14.33203125" style="185" customWidth="1"/>
    <col min="6" max="6" width="15.33203125" style="185" customWidth="1"/>
    <col min="7" max="7" width="14.5" style="185" customWidth="1"/>
    <col min="8" max="8" width="14" style="185" customWidth="1"/>
    <col min="9" max="9" width="14.6640625" style="186" customWidth="1"/>
    <col min="10" max="10" width="13.5" style="187"/>
    <col min="11" max="11" width="14.1640625" style="181" customWidth="1"/>
    <col min="12" max="12" width="14.5" style="181" customWidth="1"/>
    <col min="13" max="13" width="13" style="181"/>
    <col min="14" max="16309" width="11.6640625" style="181"/>
    <col min="16310" max="16384" width="11.6640625" style="9"/>
  </cols>
  <sheetData>
    <row r="1" spans="1:16" s="410" customFormat="1" ht="51" customHeight="1">
      <c r="A1" s="409"/>
    </row>
    <row r="2" spans="1:16" s="181" customFormat="1" ht="20" customHeight="1">
      <c r="A2" s="411"/>
      <c r="B2" s="411"/>
      <c r="C2" s="412"/>
      <c r="D2" s="413"/>
      <c r="E2" s="411"/>
      <c r="F2" s="411"/>
      <c r="G2" s="411"/>
      <c r="H2" s="411"/>
      <c r="I2" s="412"/>
      <c r="J2" s="413"/>
      <c r="K2" s="414"/>
      <c r="L2" s="414"/>
      <c r="M2" s="414"/>
      <c r="N2" s="414"/>
      <c r="O2" s="414"/>
      <c r="P2" s="414"/>
    </row>
    <row r="3" spans="1:16" s="182" customFormat="1" ht="29" customHeight="1">
      <c r="A3" s="421" t="s">
        <v>272</v>
      </c>
      <c r="B3" s="421" t="s">
        <v>182</v>
      </c>
      <c r="C3" s="423" t="s">
        <v>273</v>
      </c>
      <c r="D3" s="424" t="s">
        <v>274</v>
      </c>
      <c r="E3" s="415">
        <v>44562</v>
      </c>
      <c r="F3" s="416"/>
      <c r="G3" s="416"/>
      <c r="H3" s="416"/>
      <c r="I3" s="416"/>
      <c r="J3" s="417"/>
      <c r="K3" s="415">
        <v>44593</v>
      </c>
      <c r="L3" s="416"/>
      <c r="M3" s="416"/>
      <c r="N3" s="416"/>
      <c r="O3" s="416"/>
      <c r="P3" s="417"/>
    </row>
    <row r="4" spans="1:16" s="180" customFormat="1" ht="18" customHeight="1">
      <c r="A4" s="421"/>
      <c r="B4" s="421"/>
      <c r="C4" s="423"/>
      <c r="D4" s="424"/>
      <c r="E4" s="194" t="s">
        <v>275</v>
      </c>
      <c r="F4" s="194" t="s">
        <v>276</v>
      </c>
      <c r="G4" s="194" t="s">
        <v>277</v>
      </c>
      <c r="H4" s="194" t="s">
        <v>278</v>
      </c>
      <c r="I4" s="199" t="s">
        <v>279</v>
      </c>
      <c r="J4" s="200" t="s">
        <v>280</v>
      </c>
      <c r="K4" s="194" t="s">
        <v>275</v>
      </c>
      <c r="L4" s="194" t="s">
        <v>276</v>
      </c>
      <c r="M4" s="194" t="s">
        <v>277</v>
      </c>
      <c r="N4" s="194" t="s">
        <v>278</v>
      </c>
      <c r="O4" s="199" t="s">
        <v>279</v>
      </c>
      <c r="P4" s="200" t="s">
        <v>280</v>
      </c>
    </row>
    <row r="5" spans="1:16" s="181" customFormat="1" ht="17" customHeight="1">
      <c r="A5" s="188" t="s">
        <v>281</v>
      </c>
      <c r="B5" s="422" t="s">
        <v>282</v>
      </c>
      <c r="C5" s="189">
        <v>65671.8</v>
      </c>
      <c r="D5" s="190">
        <f>(1+J5)-1</f>
        <v>-2.614363599748093E-3</v>
      </c>
      <c r="E5" s="189">
        <v>65843.94</v>
      </c>
      <c r="F5" s="195"/>
      <c r="G5" s="195">
        <f t="shared" ref="G5:G17" si="0">F5+E5</f>
        <v>65843.94</v>
      </c>
      <c r="H5" s="195">
        <v>65671.8</v>
      </c>
      <c r="I5" s="201">
        <f>H5-G5</f>
        <v>-172.13999999999942</v>
      </c>
      <c r="J5" s="202">
        <f>I5/G5</f>
        <v>-2.6143635997481229E-3</v>
      </c>
      <c r="K5" s="195">
        <v>65671.8</v>
      </c>
      <c r="L5" s="195"/>
      <c r="M5" s="195">
        <f>K5+L5</f>
        <v>65671.8</v>
      </c>
      <c r="N5" s="195"/>
      <c r="O5" s="201"/>
      <c r="P5" s="190"/>
    </row>
    <row r="6" spans="1:16" s="181" customFormat="1" ht="17" customHeight="1">
      <c r="A6" s="188" t="s">
        <v>283</v>
      </c>
      <c r="B6" s="422"/>
      <c r="C6" s="189">
        <v>32000</v>
      </c>
      <c r="D6" s="190">
        <f t="shared" ref="D6:D17" si="1">(1+J6)-1</f>
        <v>0</v>
      </c>
      <c r="E6" s="189">
        <v>32000</v>
      </c>
      <c r="F6" s="196"/>
      <c r="G6" s="195">
        <f t="shared" si="0"/>
        <v>32000</v>
      </c>
      <c r="H6" s="196">
        <v>32000</v>
      </c>
      <c r="I6" s="201">
        <f t="shared" ref="I6:I17" si="2">H6-G6</f>
        <v>0</v>
      </c>
      <c r="J6" s="203">
        <f t="shared" ref="J6:J17" si="3">I6/G6</f>
        <v>0</v>
      </c>
      <c r="K6" s="196">
        <v>32000</v>
      </c>
      <c r="L6" s="196"/>
      <c r="M6" s="195">
        <f t="shared" ref="M6:M17" si="4">K6+L6</f>
        <v>32000</v>
      </c>
      <c r="N6" s="196"/>
      <c r="O6" s="206"/>
      <c r="P6" s="190"/>
    </row>
    <row r="7" spans="1:16" s="181" customFormat="1" ht="17" customHeight="1">
      <c r="A7" s="191" t="s">
        <v>284</v>
      </c>
      <c r="B7" s="422" t="s">
        <v>285</v>
      </c>
      <c r="C7" s="189">
        <v>53000.88</v>
      </c>
      <c r="D7" s="190">
        <f t="shared" si="1"/>
        <v>-9.6276037048657059E-2</v>
      </c>
      <c r="E7" s="189">
        <v>48729.43</v>
      </c>
      <c r="F7" s="197">
        <v>9917.77</v>
      </c>
      <c r="G7" s="195">
        <f t="shared" si="0"/>
        <v>58647.199999999997</v>
      </c>
      <c r="H7" s="196">
        <v>53000.88</v>
      </c>
      <c r="I7" s="201">
        <f t="shared" si="2"/>
        <v>-5646.32</v>
      </c>
      <c r="J7" s="204">
        <f t="shared" si="3"/>
        <v>-9.6276037048657059E-2</v>
      </c>
      <c r="K7" s="196">
        <v>53000.88</v>
      </c>
      <c r="L7" s="196"/>
      <c r="M7" s="195">
        <f t="shared" si="4"/>
        <v>53000.88</v>
      </c>
      <c r="N7" s="196"/>
      <c r="O7" s="206"/>
      <c r="P7" s="190"/>
    </row>
    <row r="8" spans="1:16" s="181" customFormat="1" ht="17" customHeight="1">
      <c r="A8" s="191" t="s">
        <v>286</v>
      </c>
      <c r="B8" s="422"/>
      <c r="C8" s="189">
        <v>23013.200000000001</v>
      </c>
      <c r="D8" s="190">
        <f t="shared" si="1"/>
        <v>-2.6670428048971795E-2</v>
      </c>
      <c r="E8" s="189">
        <v>53643.79</v>
      </c>
      <c r="F8" s="198">
        <v>-30000</v>
      </c>
      <c r="G8" s="195">
        <f t="shared" si="0"/>
        <v>23643.79</v>
      </c>
      <c r="H8" s="196">
        <v>23013.200000000001</v>
      </c>
      <c r="I8" s="201">
        <f t="shared" si="2"/>
        <v>-630.59000000000015</v>
      </c>
      <c r="J8" s="203">
        <f t="shared" si="3"/>
        <v>-2.667042804897185E-2</v>
      </c>
      <c r="K8" s="196">
        <v>23013.200000000001</v>
      </c>
      <c r="L8" s="189"/>
      <c r="M8" s="195">
        <f t="shared" si="4"/>
        <v>23013.200000000001</v>
      </c>
      <c r="N8" s="196"/>
      <c r="O8" s="206"/>
      <c r="P8" s="190"/>
    </row>
    <row r="9" spans="1:16" s="181" customFormat="1" ht="17" customHeight="1">
      <c r="A9" s="191" t="s">
        <v>287</v>
      </c>
      <c r="B9" s="422"/>
      <c r="C9" s="189">
        <v>17366.689999999999</v>
      </c>
      <c r="D9" s="190">
        <f t="shared" si="1"/>
        <v>-1.3288766620191073E-2</v>
      </c>
      <c r="E9" s="189">
        <v>17600.580000000002</v>
      </c>
      <c r="F9" s="196"/>
      <c r="G9" s="195">
        <f t="shared" si="0"/>
        <v>17600.580000000002</v>
      </c>
      <c r="H9" s="196">
        <v>17366.689999999999</v>
      </c>
      <c r="I9" s="201">
        <f t="shared" si="2"/>
        <v>-233.89000000000306</v>
      </c>
      <c r="J9" s="202">
        <f t="shared" si="3"/>
        <v>-1.3288766620191099E-2</v>
      </c>
      <c r="K9" s="196">
        <v>17366.689999999999</v>
      </c>
      <c r="L9" s="196"/>
      <c r="M9" s="195">
        <f t="shared" si="4"/>
        <v>17366.689999999999</v>
      </c>
      <c r="N9" s="196"/>
      <c r="O9" s="206"/>
      <c r="P9" s="190"/>
    </row>
    <row r="10" spans="1:16" s="181" customFormat="1" ht="17" customHeight="1">
      <c r="A10" s="191" t="s">
        <v>288</v>
      </c>
      <c r="B10" s="422"/>
      <c r="C10" s="189">
        <v>40748.980000000003</v>
      </c>
      <c r="D10" s="190">
        <f t="shared" si="1"/>
        <v>-5.3435210257627652E-2</v>
      </c>
      <c r="E10" s="189">
        <v>43049.33</v>
      </c>
      <c r="F10" s="196"/>
      <c r="G10" s="195">
        <f t="shared" si="0"/>
        <v>43049.33</v>
      </c>
      <c r="H10" s="196">
        <v>40748.980000000003</v>
      </c>
      <c r="I10" s="201">
        <f t="shared" si="2"/>
        <v>-2300.3499999999985</v>
      </c>
      <c r="J10" s="203">
        <f t="shared" si="3"/>
        <v>-5.3435210257627666E-2</v>
      </c>
      <c r="K10" s="196">
        <v>40748.980000000003</v>
      </c>
      <c r="L10" s="196"/>
      <c r="M10" s="195">
        <f t="shared" si="4"/>
        <v>40748.980000000003</v>
      </c>
      <c r="N10" s="196"/>
      <c r="O10" s="206"/>
      <c r="P10" s="190"/>
    </row>
    <row r="11" spans="1:16" s="181" customFormat="1" ht="17" customHeight="1">
      <c r="A11" s="191" t="s">
        <v>289</v>
      </c>
      <c r="B11" s="422"/>
      <c r="C11" s="189">
        <v>146346.96</v>
      </c>
      <c r="D11" s="190">
        <f t="shared" si="1"/>
        <v>-0.110781688793126</v>
      </c>
      <c r="E11" s="189">
        <v>128540.2</v>
      </c>
      <c r="F11" s="197">
        <f>-7698.36+5000+5000</f>
        <v>2301.6400000000003</v>
      </c>
      <c r="G11" s="195">
        <f t="shared" si="0"/>
        <v>130841.84</v>
      </c>
      <c r="H11" s="196">
        <v>116346.96</v>
      </c>
      <c r="I11" s="201">
        <f t="shared" si="2"/>
        <v>-14494.87999999999</v>
      </c>
      <c r="J11" s="204">
        <f t="shared" si="3"/>
        <v>-0.11078168879312604</v>
      </c>
      <c r="K11" s="196">
        <v>116346.96</v>
      </c>
      <c r="L11" s="196">
        <v>30000</v>
      </c>
      <c r="M11" s="195">
        <f t="shared" si="4"/>
        <v>146346.96000000002</v>
      </c>
      <c r="N11" s="196"/>
      <c r="O11" s="206"/>
      <c r="P11" s="190"/>
    </row>
    <row r="12" spans="1:16" s="181" customFormat="1" ht="17" customHeight="1">
      <c r="A12" s="191" t="s">
        <v>290</v>
      </c>
      <c r="B12" s="422"/>
      <c r="C12" s="189">
        <v>37330.639999999999</v>
      </c>
      <c r="D12" s="190">
        <f t="shared" si="1"/>
        <v>-5.1715270208690933E-3</v>
      </c>
      <c r="E12" s="189">
        <v>1041.4000000000001</v>
      </c>
      <c r="F12" s="198">
        <v>36483.300000000003</v>
      </c>
      <c r="G12" s="195">
        <f t="shared" si="0"/>
        <v>37524.700000000004</v>
      </c>
      <c r="H12" s="196">
        <v>37330.639999999999</v>
      </c>
      <c r="I12" s="201">
        <f t="shared" si="2"/>
        <v>-194.06000000000495</v>
      </c>
      <c r="J12" s="202">
        <f t="shared" si="3"/>
        <v>-5.1715270208690526E-3</v>
      </c>
      <c r="K12" s="196">
        <v>37330.639999999999</v>
      </c>
      <c r="L12" s="205"/>
      <c r="M12" s="195">
        <f t="shared" si="4"/>
        <v>37330.639999999999</v>
      </c>
      <c r="N12" s="196"/>
      <c r="O12" s="206"/>
      <c r="P12" s="190"/>
    </row>
    <row r="13" spans="1:16" s="181" customFormat="1" ht="17" customHeight="1">
      <c r="A13" s="191" t="s">
        <v>291</v>
      </c>
      <c r="B13" s="422"/>
      <c r="C13" s="189">
        <v>84278.58</v>
      </c>
      <c r="D13" s="190">
        <f t="shared" si="1"/>
        <v>-3.9670164215408588E-2</v>
      </c>
      <c r="E13" s="189">
        <v>117013.38</v>
      </c>
      <c r="F13" s="197">
        <f>-(E13*0.25)</f>
        <v>-29253.345000000001</v>
      </c>
      <c r="G13" s="195">
        <f t="shared" si="0"/>
        <v>87760.035000000003</v>
      </c>
      <c r="H13" s="196">
        <v>84278.58</v>
      </c>
      <c r="I13" s="201">
        <f t="shared" si="2"/>
        <v>-3481.4550000000017</v>
      </c>
      <c r="J13" s="203">
        <f t="shared" si="3"/>
        <v>-3.9670164215408546E-2</v>
      </c>
      <c r="K13" s="196">
        <v>84278.58</v>
      </c>
      <c r="L13" s="196"/>
      <c r="M13" s="195">
        <f t="shared" si="4"/>
        <v>84278.58</v>
      </c>
      <c r="N13" s="196"/>
      <c r="O13" s="206"/>
      <c r="P13" s="190"/>
    </row>
    <row r="14" spans="1:16" s="181" customFormat="1" ht="17" customHeight="1">
      <c r="A14" s="191" t="s">
        <v>292</v>
      </c>
      <c r="B14" s="422"/>
      <c r="C14" s="189">
        <v>7283.74</v>
      </c>
      <c r="D14" s="190">
        <f t="shared" si="1"/>
        <v>-1.8601731315667669E-2</v>
      </c>
      <c r="E14" s="189">
        <v>4237.24</v>
      </c>
      <c r="F14" s="196"/>
      <c r="G14" s="195">
        <f t="shared" si="0"/>
        <v>4237.24</v>
      </c>
      <c r="H14" s="196">
        <v>4158.42</v>
      </c>
      <c r="I14" s="201">
        <f t="shared" si="2"/>
        <v>-78.819999999999709</v>
      </c>
      <c r="J14" s="203">
        <f t="shared" si="3"/>
        <v>-1.8601731315667679E-2</v>
      </c>
      <c r="K14" s="196">
        <v>4158.42</v>
      </c>
      <c r="L14" s="196">
        <v>3125.32</v>
      </c>
      <c r="M14" s="195">
        <f t="shared" si="4"/>
        <v>7283.74</v>
      </c>
      <c r="N14" s="196"/>
      <c r="O14" s="206"/>
      <c r="P14" s="190"/>
    </row>
    <row r="15" spans="1:16" s="181" customFormat="1" ht="17" customHeight="1">
      <c r="A15" s="191" t="s">
        <v>293</v>
      </c>
      <c r="B15" s="422"/>
      <c r="C15" s="189">
        <v>32439.58</v>
      </c>
      <c r="D15" s="190">
        <f t="shared" si="1"/>
        <v>-0.10398717060951479</v>
      </c>
      <c r="E15" s="189">
        <v>33184.370000000003</v>
      </c>
      <c r="F15" s="197">
        <v>3020</v>
      </c>
      <c r="G15" s="195">
        <f t="shared" si="0"/>
        <v>36204.370000000003</v>
      </c>
      <c r="H15" s="196">
        <v>32439.58</v>
      </c>
      <c r="I15" s="201">
        <f t="shared" si="2"/>
        <v>-3764.7900000000009</v>
      </c>
      <c r="J15" s="204">
        <f t="shared" si="3"/>
        <v>-0.10398717060951483</v>
      </c>
      <c r="K15" s="196">
        <v>32439.58</v>
      </c>
      <c r="L15" s="196"/>
      <c r="M15" s="195">
        <f t="shared" si="4"/>
        <v>32439.58</v>
      </c>
      <c r="N15" s="196"/>
      <c r="O15" s="206"/>
      <c r="P15" s="190"/>
    </row>
    <row r="16" spans="1:16" s="181" customFormat="1" ht="17" customHeight="1">
      <c r="A16" s="191" t="s">
        <v>294</v>
      </c>
      <c r="B16" s="422"/>
      <c r="C16" s="189">
        <v>144589.76999999999</v>
      </c>
      <c r="D16" s="190">
        <f t="shared" si="1"/>
        <v>-4.0887045246690956E-2</v>
      </c>
      <c r="E16" s="189">
        <v>110946.74</v>
      </c>
      <c r="F16" s="198">
        <v>24167.45</v>
      </c>
      <c r="G16" s="195">
        <f t="shared" si="0"/>
        <v>135114.19</v>
      </c>
      <c r="H16" s="196">
        <v>129589.77</v>
      </c>
      <c r="I16" s="201">
        <f t="shared" si="2"/>
        <v>-5524.4199999999983</v>
      </c>
      <c r="J16" s="203">
        <f t="shared" si="3"/>
        <v>-4.0887045246690949E-2</v>
      </c>
      <c r="K16" s="196">
        <v>129589.77</v>
      </c>
      <c r="L16" s="189">
        <v>15000</v>
      </c>
      <c r="M16" s="195">
        <f t="shared" si="4"/>
        <v>144589.77000000002</v>
      </c>
      <c r="N16" s="196"/>
      <c r="O16" s="206"/>
      <c r="P16" s="190"/>
    </row>
    <row r="17" spans="1:16 16310:16384" s="181" customFormat="1" ht="17" customHeight="1">
      <c r="A17" s="191" t="s">
        <v>295</v>
      </c>
      <c r="B17" s="422"/>
      <c r="C17" s="189">
        <v>54216.31</v>
      </c>
      <c r="D17" s="190">
        <f t="shared" si="1"/>
        <v>-4.7899933829634533E-2</v>
      </c>
      <c r="E17" s="189">
        <v>56943.92</v>
      </c>
      <c r="F17" s="196"/>
      <c r="G17" s="195">
        <f t="shared" si="0"/>
        <v>56943.92</v>
      </c>
      <c r="H17" s="196">
        <v>54216.31</v>
      </c>
      <c r="I17" s="201">
        <f t="shared" si="2"/>
        <v>-2727.6100000000006</v>
      </c>
      <c r="J17" s="190">
        <f t="shared" si="3"/>
        <v>-4.7899933829634499E-2</v>
      </c>
      <c r="K17" s="196">
        <v>54216.31</v>
      </c>
      <c r="L17" s="196"/>
      <c r="M17" s="195">
        <f t="shared" si="4"/>
        <v>54216.31</v>
      </c>
      <c r="N17" s="196"/>
      <c r="O17" s="206"/>
      <c r="P17" s="190"/>
    </row>
    <row r="18" spans="1:16 16310:16384" s="181" customFormat="1" ht="26" customHeight="1">
      <c r="A18" s="418" t="s">
        <v>251</v>
      </c>
      <c r="B18" s="419"/>
      <c r="C18" s="192">
        <f>SUM(C5:C17)</f>
        <v>738287.13000000012</v>
      </c>
      <c r="D18" s="193">
        <f>(1+D5)*(1+D6)*(1+D7)*(1+D8)*(1+D9)*(1+D10)*(1+D11)*(1+D12)*(1+D13)*(1+D14)*(1+D15)*(1+D16)*(1+D17)-1</f>
        <v>-0.44103046574355986</v>
      </c>
      <c r="E18" s="420">
        <f>SUM(H5:H17)</f>
        <v>690161.81</v>
      </c>
      <c r="F18" s="420"/>
      <c r="G18" s="420"/>
      <c r="H18" s="420"/>
      <c r="I18" s="420"/>
      <c r="J18" s="420"/>
      <c r="K18" s="420">
        <f>SUM(M5:M17)</f>
        <v>738287.13000000012</v>
      </c>
      <c r="L18" s="420"/>
      <c r="M18" s="420"/>
      <c r="N18" s="420"/>
      <c r="O18" s="420"/>
      <c r="P18" s="420"/>
      <c r="XCH18" s="9"/>
      <c r="XCI18" s="9"/>
      <c r="XCJ18" s="9"/>
      <c r="XCK18" s="9"/>
      <c r="XCL18" s="9"/>
      <c r="XCM18" s="9"/>
      <c r="XCN18" s="9"/>
      <c r="XCO18" s="9"/>
      <c r="XCP18" s="9"/>
      <c r="XCQ18" s="9"/>
      <c r="XCR18" s="9"/>
      <c r="XCS18" s="9"/>
      <c r="XCT18" s="9"/>
      <c r="XCU18" s="9"/>
      <c r="XCV18" s="9"/>
      <c r="XCW18" s="9"/>
      <c r="XCX18" s="9"/>
      <c r="XCY18" s="9"/>
      <c r="XCZ18" s="9"/>
      <c r="XDA18" s="9"/>
      <c r="XDB18" s="9"/>
      <c r="XDC18" s="9"/>
      <c r="XDD18" s="9"/>
      <c r="XDE18" s="9"/>
      <c r="XDF18" s="9"/>
      <c r="XDG18" s="9"/>
      <c r="XDH18" s="9"/>
      <c r="XDI18" s="9"/>
      <c r="XDJ18" s="9"/>
      <c r="XDK18" s="9"/>
      <c r="XDL18" s="9"/>
      <c r="XDM18" s="9"/>
    </row>
    <row r="19" spans="1:16 16310:16384" s="181" customFormat="1">
      <c r="C19" s="183"/>
      <c r="D19" s="184"/>
      <c r="E19" s="185"/>
      <c r="F19" s="185"/>
      <c r="G19" s="185"/>
      <c r="H19" s="185"/>
      <c r="I19" s="186"/>
      <c r="J19" s="187"/>
      <c r="XCH19" s="9"/>
      <c r="XCI19" s="9"/>
      <c r="XCJ19" s="9"/>
      <c r="XCK19" s="9"/>
      <c r="XCL19" s="9"/>
      <c r="XCM19" s="9"/>
      <c r="XCN19" s="9"/>
      <c r="XCO19" s="9"/>
      <c r="XCP19" s="9"/>
      <c r="XCQ19" s="9"/>
      <c r="XCR19" s="9"/>
      <c r="XCS19" s="9"/>
      <c r="XCT19" s="9"/>
      <c r="XCU19" s="9"/>
      <c r="XCV19" s="9"/>
      <c r="XCW19" s="9"/>
      <c r="XCX19" s="9"/>
      <c r="XCY19" s="9"/>
      <c r="XCZ19" s="9"/>
      <c r="XDA19" s="9"/>
      <c r="XDB19" s="9"/>
      <c r="XDC19" s="9"/>
      <c r="XDD19" s="9"/>
      <c r="XDE19" s="9"/>
      <c r="XDF19" s="9"/>
      <c r="XDG19" s="9"/>
      <c r="XDH19" s="9"/>
      <c r="XDI19" s="9"/>
      <c r="XDJ19" s="9"/>
      <c r="XDK19" s="9"/>
      <c r="XDL19" s="9"/>
      <c r="XDM19" s="9"/>
      <c r="XDN19" s="9"/>
      <c r="XDO19" s="9"/>
      <c r="XDP19" s="9"/>
      <c r="XDQ19" s="9"/>
      <c r="XDR19" s="9"/>
      <c r="XDS19" s="9"/>
      <c r="XDT19" s="9"/>
      <c r="XDU19" s="9"/>
      <c r="XDV19" s="9"/>
      <c r="XDW19" s="9"/>
      <c r="XDX19" s="9"/>
      <c r="XDY19" s="9"/>
      <c r="XDZ19" s="9"/>
      <c r="XEA19" s="9"/>
      <c r="XEB19" s="9"/>
      <c r="XEC19" s="9"/>
      <c r="XED19" s="9"/>
      <c r="XEE19" s="9"/>
      <c r="XEF19" s="9"/>
      <c r="XEG19" s="9"/>
      <c r="XEH19" s="9"/>
      <c r="XEI19" s="9"/>
      <c r="XEJ19" s="9"/>
      <c r="XEK19" s="9"/>
      <c r="XEL19" s="9"/>
      <c r="XEM19" s="9"/>
      <c r="XEN19" s="9"/>
      <c r="XEO19" s="9"/>
      <c r="XEP19" s="9"/>
      <c r="XEQ19" s="9"/>
      <c r="XER19" s="9"/>
      <c r="XES19" s="9"/>
      <c r="XET19" s="9"/>
      <c r="XEU19" s="9"/>
      <c r="XEV19" s="9"/>
      <c r="XEW19" s="9"/>
      <c r="XEX19" s="9"/>
      <c r="XEY19" s="9"/>
      <c r="XEZ19" s="9"/>
      <c r="XFA19" s="9"/>
      <c r="XFB19" s="9"/>
      <c r="XFC19" s="9"/>
      <c r="XFD19" s="9"/>
    </row>
  </sheetData>
  <mergeCells count="14">
    <mergeCell ref="A18:B18"/>
    <mergeCell ref="E18:J18"/>
    <mergeCell ref="K18:P18"/>
    <mergeCell ref="A3:A4"/>
    <mergeCell ref="B3:B4"/>
    <mergeCell ref="B5:B6"/>
    <mergeCell ref="B7:B17"/>
    <mergeCell ref="C3:C4"/>
    <mergeCell ref="D3:D4"/>
    <mergeCell ref="A1:XFD1"/>
    <mergeCell ref="A2:J2"/>
    <mergeCell ref="K2:P2"/>
    <mergeCell ref="E3:J3"/>
    <mergeCell ref="K3:P3"/>
  </mergeCells>
  <phoneticPr fontId="30" type="noConversion"/>
  <pageMargins left="0.75" right="0.75" top="1" bottom="1" header="0.51180555555555596" footer="0.5118055555555559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272"/>
  <sheetViews>
    <sheetView showGridLines="0" zoomScale="94" zoomScaleNormal="94" workbookViewId="0">
      <selection activeCell="M27" sqref="M27"/>
    </sheetView>
  </sheetViews>
  <sheetFormatPr baseColWidth="10" defaultColWidth="9" defaultRowHeight="20" customHeight="1"/>
  <cols>
    <col min="4" max="4" width="18.83203125" customWidth="1"/>
    <col min="5" max="5" width="18.33203125" customWidth="1"/>
    <col min="8" max="8" width="21.5" customWidth="1"/>
    <col min="12" max="12" width="8.5" customWidth="1"/>
    <col min="13" max="13" width="15.83203125" style="144" customWidth="1"/>
    <col min="14" max="14" width="15" style="144" customWidth="1"/>
    <col min="15" max="15" width="15.6640625" style="145" customWidth="1"/>
    <col min="16" max="16" width="18.1640625" customWidth="1"/>
  </cols>
  <sheetData>
    <row r="1" spans="1:8" ht="42" customHeight="1">
      <c r="A1" s="447" t="s">
        <v>481</v>
      </c>
      <c r="B1" s="426"/>
      <c r="C1" s="426"/>
      <c r="D1" s="426"/>
      <c r="E1" s="426"/>
      <c r="F1" s="426"/>
      <c r="G1" s="426"/>
      <c r="H1" s="427"/>
    </row>
    <row r="2" spans="1:8" ht="20" customHeight="1">
      <c r="A2" s="448" t="s">
        <v>480</v>
      </c>
      <c r="B2" s="429"/>
      <c r="C2" s="429"/>
      <c r="D2" s="429"/>
      <c r="E2" s="429"/>
      <c r="F2" s="429"/>
      <c r="G2" s="429"/>
      <c r="H2" s="430"/>
    </row>
    <row r="3" spans="1:8" ht="20" customHeight="1">
      <c r="A3" s="439" t="s">
        <v>298</v>
      </c>
      <c r="B3" s="439" t="s">
        <v>299</v>
      </c>
      <c r="C3" s="431" t="s">
        <v>300</v>
      </c>
      <c r="D3" s="432"/>
      <c r="E3" s="149"/>
      <c r="F3" s="439" t="s">
        <v>301</v>
      </c>
      <c r="G3" s="150" t="s">
        <v>189</v>
      </c>
      <c r="H3" s="151"/>
    </row>
    <row r="4" spans="1:8" ht="20" customHeight="1">
      <c r="A4" s="440"/>
      <c r="B4" s="440"/>
      <c r="C4" s="431" t="s">
        <v>302</v>
      </c>
      <c r="D4" s="432"/>
      <c r="E4" s="149">
        <v>790.19</v>
      </c>
      <c r="F4" s="440"/>
      <c r="G4" s="150" t="s">
        <v>195</v>
      </c>
      <c r="H4" s="151"/>
    </row>
    <row r="5" spans="1:8" ht="20" customHeight="1">
      <c r="A5" s="440"/>
      <c r="B5" s="440"/>
      <c r="C5" s="431"/>
      <c r="D5" s="432"/>
      <c r="E5" s="149"/>
      <c r="F5" s="440"/>
      <c r="G5" s="150" t="s">
        <v>203</v>
      </c>
      <c r="H5" s="151"/>
    </row>
    <row r="6" spans="1:8" ht="20" customHeight="1">
      <c r="A6" s="440"/>
      <c r="B6" s="440"/>
      <c r="C6" s="431"/>
      <c r="D6" s="432"/>
      <c r="E6" s="149"/>
      <c r="F6" s="440"/>
      <c r="G6" s="150" t="s">
        <v>206</v>
      </c>
      <c r="H6" s="151"/>
    </row>
    <row r="7" spans="1:8" ht="20" customHeight="1">
      <c r="A7" s="440"/>
      <c r="B7" s="441"/>
      <c r="C7" s="431"/>
      <c r="D7" s="432"/>
      <c r="E7" s="149"/>
      <c r="F7" s="440"/>
      <c r="G7" s="150" t="s">
        <v>215</v>
      </c>
      <c r="H7" s="151"/>
    </row>
    <row r="8" spans="1:8" ht="20" customHeight="1">
      <c r="A8" s="440"/>
      <c r="B8" s="431" t="s">
        <v>303</v>
      </c>
      <c r="C8" s="433"/>
      <c r="D8" s="432"/>
      <c r="E8" s="152">
        <f>SUM(E3:E7)</f>
        <v>790.19</v>
      </c>
      <c r="F8" s="440"/>
      <c r="G8" s="150" t="s">
        <v>221</v>
      </c>
      <c r="H8" s="151"/>
    </row>
    <row r="9" spans="1:8" ht="20" customHeight="1">
      <c r="A9" s="440"/>
      <c r="B9" s="439" t="s">
        <v>304</v>
      </c>
      <c r="C9" s="439" t="s">
        <v>282</v>
      </c>
      <c r="D9" s="146" t="s">
        <v>281</v>
      </c>
      <c r="E9" s="153"/>
      <c r="F9" s="440"/>
      <c r="G9" s="150" t="s">
        <v>224</v>
      </c>
      <c r="H9" s="151"/>
    </row>
    <row r="10" spans="1:8" ht="20" customHeight="1">
      <c r="A10" s="440"/>
      <c r="B10" s="440"/>
      <c r="C10" s="441"/>
      <c r="D10" s="146" t="s">
        <v>283</v>
      </c>
      <c r="E10" s="153"/>
      <c r="F10" s="440"/>
      <c r="G10" s="150" t="s">
        <v>228</v>
      </c>
      <c r="H10" s="151"/>
    </row>
    <row r="11" spans="1:8" ht="20" customHeight="1">
      <c r="A11" s="440"/>
      <c r="B11" s="440"/>
      <c r="C11" s="431" t="s">
        <v>303</v>
      </c>
      <c r="D11" s="434"/>
      <c r="E11" s="152">
        <f>SUM(E9:E10)</f>
        <v>0</v>
      </c>
      <c r="F11" s="440"/>
      <c r="G11" s="150" t="s">
        <v>230</v>
      </c>
      <c r="H11" s="154"/>
    </row>
    <row r="12" spans="1:8" ht="20" customHeight="1">
      <c r="A12" s="440"/>
      <c r="B12" s="440"/>
      <c r="C12" s="439" t="s">
        <v>305</v>
      </c>
      <c r="D12" s="147" t="s">
        <v>284</v>
      </c>
      <c r="E12" s="149"/>
      <c r="F12" s="440"/>
      <c r="G12" s="150" t="s">
        <v>236</v>
      </c>
      <c r="H12" s="154"/>
    </row>
    <row r="13" spans="1:8" ht="20" customHeight="1">
      <c r="A13" s="440"/>
      <c r="B13" s="440"/>
      <c r="C13" s="440"/>
      <c r="D13" s="147" t="s">
        <v>286</v>
      </c>
      <c r="E13" s="149"/>
      <c r="F13" s="440"/>
      <c r="G13" s="150" t="s">
        <v>239</v>
      </c>
      <c r="H13" s="154"/>
    </row>
    <row r="14" spans="1:8" ht="20" customHeight="1">
      <c r="A14" s="440"/>
      <c r="B14" s="440"/>
      <c r="C14" s="440"/>
      <c r="D14" s="147" t="s">
        <v>287</v>
      </c>
      <c r="E14" s="149"/>
      <c r="F14" s="440"/>
      <c r="G14" s="150" t="s">
        <v>241</v>
      </c>
      <c r="H14" s="154"/>
    </row>
    <row r="15" spans="1:8" ht="20" customHeight="1">
      <c r="A15" s="440"/>
      <c r="B15" s="440"/>
      <c r="C15" s="440"/>
      <c r="D15" s="147" t="s">
        <v>288</v>
      </c>
      <c r="E15" s="149"/>
      <c r="F15" s="440"/>
      <c r="G15" s="150" t="s">
        <v>211</v>
      </c>
      <c r="H15" s="154"/>
    </row>
    <row r="16" spans="1:8" ht="20" customHeight="1">
      <c r="A16" s="440"/>
      <c r="B16" s="440"/>
      <c r="C16" s="440"/>
      <c r="D16" s="147" t="s">
        <v>289</v>
      </c>
      <c r="E16" s="149"/>
      <c r="F16" s="440"/>
      <c r="G16" s="150" t="s">
        <v>213</v>
      </c>
      <c r="H16" s="155"/>
    </row>
    <row r="17" spans="1:8" ht="20" customHeight="1">
      <c r="A17" s="440"/>
      <c r="B17" s="440"/>
      <c r="C17" s="440"/>
      <c r="D17" s="147" t="s">
        <v>290</v>
      </c>
      <c r="E17" s="149"/>
      <c r="F17" s="440"/>
      <c r="G17" s="150" t="s">
        <v>222</v>
      </c>
      <c r="H17" s="154"/>
    </row>
    <row r="18" spans="1:8" ht="20" customHeight="1">
      <c r="A18" s="440"/>
      <c r="B18" s="440"/>
      <c r="C18" s="440"/>
      <c r="D18" s="147" t="s">
        <v>291</v>
      </c>
      <c r="E18" s="149"/>
      <c r="F18" s="440"/>
      <c r="G18" s="150" t="s">
        <v>201</v>
      </c>
      <c r="H18" s="156"/>
    </row>
    <row r="19" spans="1:8" ht="20" customHeight="1">
      <c r="A19" s="440"/>
      <c r="B19" s="440"/>
      <c r="C19" s="440"/>
      <c r="D19" s="147" t="s">
        <v>292</v>
      </c>
      <c r="E19" s="149"/>
      <c r="F19" s="440"/>
      <c r="G19" s="150"/>
      <c r="H19" s="157"/>
    </row>
    <row r="20" spans="1:8" ht="20" customHeight="1">
      <c r="A20" s="440"/>
      <c r="B20" s="440"/>
      <c r="C20" s="440"/>
      <c r="D20" s="147" t="s">
        <v>293</v>
      </c>
      <c r="E20" s="149"/>
      <c r="F20" s="440"/>
      <c r="G20" s="150"/>
      <c r="H20" s="157"/>
    </row>
    <row r="21" spans="1:8" ht="20" customHeight="1">
      <c r="A21" s="440"/>
      <c r="B21" s="440"/>
      <c r="C21" s="440"/>
      <c r="D21" s="147" t="s">
        <v>294</v>
      </c>
      <c r="E21" s="149"/>
      <c r="F21" s="440"/>
      <c r="G21" s="150"/>
      <c r="H21" s="157"/>
    </row>
    <row r="22" spans="1:8" ht="20" customHeight="1">
      <c r="A22" s="440"/>
      <c r="B22" s="440"/>
      <c r="C22" s="441"/>
      <c r="D22" s="147" t="s">
        <v>295</v>
      </c>
      <c r="E22" s="149"/>
      <c r="F22" s="440"/>
      <c r="G22" s="150"/>
      <c r="H22" s="157"/>
    </row>
    <row r="23" spans="1:8" ht="20" customHeight="1">
      <c r="A23" s="440"/>
      <c r="B23" s="441"/>
      <c r="C23" s="431" t="s">
        <v>303</v>
      </c>
      <c r="D23" s="434"/>
      <c r="E23" s="149">
        <f>SUM(E12:E22)</f>
        <v>0</v>
      </c>
      <c r="F23" s="440"/>
      <c r="G23" s="150"/>
      <c r="H23" s="157"/>
    </row>
    <row r="24" spans="1:8" ht="20" customHeight="1">
      <c r="A24" s="441"/>
      <c r="B24" s="431" t="s">
        <v>303</v>
      </c>
      <c r="C24" s="433"/>
      <c r="D24" s="432"/>
      <c r="E24" s="152">
        <f>E23+E11</f>
        <v>0</v>
      </c>
      <c r="F24" s="441"/>
      <c r="G24" s="150"/>
      <c r="H24" s="157"/>
    </row>
    <row r="25" spans="1:8" ht="20" customHeight="1">
      <c r="A25" s="431" t="s">
        <v>176</v>
      </c>
      <c r="B25" s="433"/>
      <c r="C25" s="433"/>
      <c r="D25" s="432"/>
      <c r="E25" s="152">
        <f>E8+E11+E23</f>
        <v>790.19</v>
      </c>
      <c r="F25" s="431" t="s">
        <v>306</v>
      </c>
      <c r="G25" s="432"/>
      <c r="H25" s="158">
        <f>SUM(H3:H24)</f>
        <v>0</v>
      </c>
    </row>
    <row r="26" spans="1:8" ht="20" customHeight="1">
      <c r="A26" s="431" t="s">
        <v>307</v>
      </c>
      <c r="B26" s="433"/>
      <c r="C26" s="433"/>
      <c r="D26" s="433"/>
      <c r="E26" s="434"/>
      <c r="F26" s="435">
        <f>E25-H25</f>
        <v>790.19</v>
      </c>
      <c r="G26" s="436"/>
      <c r="H26" s="437"/>
    </row>
    <row r="28" spans="1:8" ht="42" customHeight="1">
      <c r="A28" s="425" t="s">
        <v>296</v>
      </c>
      <c r="B28" s="426"/>
      <c r="C28" s="426"/>
      <c r="D28" s="426"/>
      <c r="E28" s="426"/>
      <c r="F28" s="426"/>
      <c r="G28" s="426"/>
      <c r="H28" s="427"/>
    </row>
    <row r="29" spans="1:8" ht="20" customHeight="1">
      <c r="A29" s="428" t="s">
        <v>297</v>
      </c>
      <c r="B29" s="429"/>
      <c r="C29" s="429"/>
      <c r="D29" s="429"/>
      <c r="E29" s="429"/>
      <c r="F29" s="429"/>
      <c r="G29" s="429"/>
      <c r="H29" s="430"/>
    </row>
    <row r="30" spans="1:8" ht="20" customHeight="1">
      <c r="A30" s="439" t="s">
        <v>298</v>
      </c>
      <c r="B30" s="439" t="s">
        <v>299</v>
      </c>
      <c r="C30" s="431" t="s">
        <v>300</v>
      </c>
      <c r="D30" s="432"/>
      <c r="E30" s="149">
        <v>43907.83</v>
      </c>
      <c r="F30" s="439" t="s">
        <v>301</v>
      </c>
      <c r="G30" s="150" t="s">
        <v>189</v>
      </c>
      <c r="H30" s="151">
        <v>1388.62</v>
      </c>
    </row>
    <row r="31" spans="1:8" ht="20" customHeight="1">
      <c r="A31" s="440"/>
      <c r="B31" s="440"/>
      <c r="C31" s="431" t="s">
        <v>302</v>
      </c>
      <c r="D31" s="432"/>
      <c r="E31" s="149">
        <v>790.26</v>
      </c>
      <c r="F31" s="440"/>
      <c r="G31" s="150" t="s">
        <v>195</v>
      </c>
      <c r="H31" s="151">
        <v>583.79</v>
      </c>
    </row>
    <row r="32" spans="1:8" ht="20" customHeight="1">
      <c r="A32" s="440"/>
      <c r="B32" s="440"/>
      <c r="C32" s="431"/>
      <c r="D32" s="432"/>
      <c r="E32" s="149"/>
      <c r="F32" s="440"/>
      <c r="G32" s="150" t="s">
        <v>203</v>
      </c>
      <c r="H32" s="151">
        <v>255</v>
      </c>
    </row>
    <row r="33" spans="1:8" ht="20" customHeight="1">
      <c r="A33" s="440"/>
      <c r="B33" s="440"/>
      <c r="C33" s="431"/>
      <c r="D33" s="432"/>
      <c r="E33" s="149"/>
      <c r="F33" s="440"/>
      <c r="G33" s="150" t="s">
        <v>206</v>
      </c>
      <c r="H33" s="151">
        <v>7.6</v>
      </c>
    </row>
    <row r="34" spans="1:8" ht="20" customHeight="1">
      <c r="A34" s="440"/>
      <c r="B34" s="441"/>
      <c r="C34" s="431"/>
      <c r="D34" s="432"/>
      <c r="E34" s="149"/>
      <c r="F34" s="440"/>
      <c r="G34" s="150" t="s">
        <v>215</v>
      </c>
      <c r="H34" s="151">
        <v>28</v>
      </c>
    </row>
    <row r="35" spans="1:8" ht="20" customHeight="1">
      <c r="A35" s="440"/>
      <c r="B35" s="431" t="s">
        <v>303</v>
      </c>
      <c r="C35" s="433"/>
      <c r="D35" s="432"/>
      <c r="E35" s="152">
        <f>SUM(E30:E34)</f>
        <v>44698.090000000004</v>
      </c>
      <c r="F35" s="440"/>
      <c r="G35" s="150" t="s">
        <v>221</v>
      </c>
      <c r="H35" s="151">
        <v>0</v>
      </c>
    </row>
    <row r="36" spans="1:8" ht="20" customHeight="1">
      <c r="A36" s="440"/>
      <c r="B36" s="439" t="s">
        <v>304</v>
      </c>
      <c r="C36" s="439" t="s">
        <v>282</v>
      </c>
      <c r="D36" s="146" t="s">
        <v>281</v>
      </c>
      <c r="E36" s="153">
        <v>-172.13999999999899</v>
      </c>
      <c r="F36" s="440"/>
      <c r="G36" s="150" t="s">
        <v>224</v>
      </c>
      <c r="H36" s="151">
        <v>0</v>
      </c>
    </row>
    <row r="37" spans="1:8" ht="20" customHeight="1">
      <c r="A37" s="440"/>
      <c r="B37" s="440"/>
      <c r="C37" s="441"/>
      <c r="D37" s="146" t="s">
        <v>283</v>
      </c>
      <c r="E37" s="153">
        <v>0</v>
      </c>
      <c r="F37" s="440"/>
      <c r="G37" s="150" t="s">
        <v>228</v>
      </c>
      <c r="H37" s="151">
        <v>0</v>
      </c>
    </row>
    <row r="38" spans="1:8" ht="20" customHeight="1">
      <c r="A38" s="440"/>
      <c r="B38" s="440"/>
      <c r="C38" s="431" t="s">
        <v>303</v>
      </c>
      <c r="D38" s="434"/>
      <c r="E38" s="152">
        <f>SUM(E36:E37)</f>
        <v>-172.13999999999899</v>
      </c>
      <c r="F38" s="440"/>
      <c r="G38" s="150" t="s">
        <v>230</v>
      </c>
      <c r="H38" s="154">
        <v>40</v>
      </c>
    </row>
    <row r="39" spans="1:8" ht="20" customHeight="1">
      <c r="A39" s="440"/>
      <c r="B39" s="440"/>
      <c r="C39" s="439" t="s">
        <v>305</v>
      </c>
      <c r="D39" s="147" t="s">
        <v>284</v>
      </c>
      <c r="E39" s="149">
        <v>-5646.32</v>
      </c>
      <c r="F39" s="440"/>
      <c r="G39" s="150" t="s">
        <v>236</v>
      </c>
      <c r="H39" s="154">
        <v>0</v>
      </c>
    </row>
    <row r="40" spans="1:8" ht="20" customHeight="1">
      <c r="A40" s="440"/>
      <c r="B40" s="440"/>
      <c r="C40" s="440"/>
      <c r="D40" s="147" t="s">
        <v>286</v>
      </c>
      <c r="E40" s="149">
        <v>-630.59</v>
      </c>
      <c r="F40" s="440"/>
      <c r="G40" s="150" t="s">
        <v>239</v>
      </c>
      <c r="H40" s="154">
        <v>0</v>
      </c>
    </row>
    <row r="41" spans="1:8" ht="20" customHeight="1">
      <c r="A41" s="440"/>
      <c r="B41" s="440"/>
      <c r="C41" s="440"/>
      <c r="D41" s="147" t="s">
        <v>287</v>
      </c>
      <c r="E41" s="149">
        <v>-233.890000000003</v>
      </c>
      <c r="F41" s="440"/>
      <c r="G41" s="150" t="s">
        <v>241</v>
      </c>
      <c r="H41" s="154">
        <v>0</v>
      </c>
    </row>
    <row r="42" spans="1:8" ht="20" customHeight="1">
      <c r="A42" s="440"/>
      <c r="B42" s="440"/>
      <c r="C42" s="440"/>
      <c r="D42" s="147" t="s">
        <v>288</v>
      </c>
      <c r="E42" s="149">
        <v>-2300.35</v>
      </c>
      <c r="F42" s="440"/>
      <c r="G42" s="150" t="s">
        <v>211</v>
      </c>
      <c r="H42" s="154">
        <v>552.41999999999996</v>
      </c>
    </row>
    <row r="43" spans="1:8" ht="20" customHeight="1">
      <c r="A43" s="440"/>
      <c r="B43" s="440"/>
      <c r="C43" s="440"/>
      <c r="D43" s="147" t="s">
        <v>289</v>
      </c>
      <c r="E43" s="149">
        <v>-14494.88</v>
      </c>
      <c r="F43" s="440"/>
      <c r="G43" s="150" t="s">
        <v>213</v>
      </c>
      <c r="H43" s="155">
        <v>3960.36</v>
      </c>
    </row>
    <row r="44" spans="1:8" ht="20" customHeight="1">
      <c r="A44" s="440"/>
      <c r="B44" s="440"/>
      <c r="C44" s="440"/>
      <c r="D44" s="147" t="s">
        <v>290</v>
      </c>
      <c r="E44" s="149">
        <v>-194.05999999999801</v>
      </c>
      <c r="F44" s="440"/>
      <c r="G44" s="150" t="s">
        <v>222</v>
      </c>
      <c r="H44" s="154">
        <v>360</v>
      </c>
    </row>
    <row r="45" spans="1:8" ht="20" customHeight="1">
      <c r="A45" s="440"/>
      <c r="B45" s="440"/>
      <c r="C45" s="440"/>
      <c r="D45" s="147" t="s">
        <v>291</v>
      </c>
      <c r="E45" s="149">
        <v>-3481.4549999999999</v>
      </c>
      <c r="F45" s="440"/>
      <c r="G45" s="150" t="s">
        <v>201</v>
      </c>
      <c r="H45" s="156">
        <v>122.99</v>
      </c>
    </row>
    <row r="46" spans="1:8" ht="20" customHeight="1">
      <c r="A46" s="440"/>
      <c r="B46" s="440"/>
      <c r="C46" s="440"/>
      <c r="D46" s="147" t="s">
        <v>292</v>
      </c>
      <c r="E46" s="149">
        <v>-78.819999999999695</v>
      </c>
      <c r="F46" s="440"/>
      <c r="G46" s="150"/>
      <c r="H46" s="157"/>
    </row>
    <row r="47" spans="1:8" ht="20" customHeight="1">
      <c r="A47" s="440"/>
      <c r="B47" s="440"/>
      <c r="C47" s="440"/>
      <c r="D47" s="147" t="s">
        <v>293</v>
      </c>
      <c r="E47" s="149">
        <v>-3764.79</v>
      </c>
      <c r="F47" s="440"/>
      <c r="G47" s="150"/>
      <c r="H47" s="157"/>
    </row>
    <row r="48" spans="1:8" ht="20" customHeight="1">
      <c r="A48" s="440"/>
      <c r="B48" s="440"/>
      <c r="C48" s="440"/>
      <c r="D48" s="147" t="s">
        <v>294</v>
      </c>
      <c r="E48" s="149">
        <v>-5524.42</v>
      </c>
      <c r="F48" s="440"/>
      <c r="G48" s="150"/>
      <c r="H48" s="157"/>
    </row>
    <row r="49" spans="1:16" ht="20" customHeight="1">
      <c r="A49" s="440"/>
      <c r="B49" s="440"/>
      <c r="C49" s="441"/>
      <c r="D49" s="147" t="s">
        <v>295</v>
      </c>
      <c r="E49" s="149">
        <v>-2727.61</v>
      </c>
      <c r="F49" s="440"/>
      <c r="G49" s="150"/>
      <c r="H49" s="157"/>
    </row>
    <row r="50" spans="1:16" ht="20" customHeight="1">
      <c r="A50" s="440"/>
      <c r="B50" s="441"/>
      <c r="C50" s="431" t="s">
        <v>303</v>
      </c>
      <c r="D50" s="434"/>
      <c r="E50" s="149">
        <f>SUM(E39:E49)</f>
        <v>-39077.184999999998</v>
      </c>
      <c r="F50" s="440"/>
      <c r="G50" s="150"/>
      <c r="H50" s="157"/>
    </row>
    <row r="51" spans="1:16" ht="20" customHeight="1">
      <c r="A51" s="441"/>
      <c r="B51" s="431" t="s">
        <v>303</v>
      </c>
      <c r="C51" s="433"/>
      <c r="D51" s="432"/>
      <c r="E51" s="152">
        <f>E50+E38</f>
        <v>-39249.324999999997</v>
      </c>
      <c r="F51" s="441"/>
      <c r="G51" s="150"/>
      <c r="H51" s="157"/>
    </row>
    <row r="52" spans="1:16" ht="20" customHeight="1">
      <c r="A52" s="431" t="s">
        <v>176</v>
      </c>
      <c r="B52" s="433"/>
      <c r="C52" s="433"/>
      <c r="D52" s="432"/>
      <c r="E52" s="152">
        <f>E35+E38+E50</f>
        <v>5448.7650000000067</v>
      </c>
      <c r="F52" s="431" t="s">
        <v>306</v>
      </c>
      <c r="G52" s="432"/>
      <c r="H52" s="158">
        <f>SUM(H30:H51)</f>
        <v>7298.78</v>
      </c>
    </row>
    <row r="53" spans="1:16" ht="20" customHeight="1">
      <c r="A53" s="431" t="s">
        <v>307</v>
      </c>
      <c r="B53" s="433"/>
      <c r="C53" s="433"/>
      <c r="D53" s="433"/>
      <c r="E53" s="434"/>
      <c r="F53" s="435">
        <f>E52-H52</f>
        <v>-1850.0149999999931</v>
      </c>
      <c r="G53" s="436"/>
      <c r="H53" s="437"/>
    </row>
    <row r="56" spans="1:16" ht="20" customHeight="1">
      <c r="A56" s="425" t="s">
        <v>308</v>
      </c>
      <c r="B56" s="426"/>
      <c r="C56" s="426"/>
      <c r="D56" s="426"/>
      <c r="E56" s="426"/>
      <c r="F56" s="426"/>
      <c r="G56" s="426"/>
      <c r="H56" s="427"/>
      <c r="L56" s="438" t="s">
        <v>309</v>
      </c>
      <c r="M56" s="438"/>
      <c r="N56" s="438"/>
      <c r="O56" s="438"/>
      <c r="P56" s="438"/>
    </row>
    <row r="57" spans="1:16" ht="20" customHeight="1">
      <c r="A57" s="428" t="s">
        <v>310</v>
      </c>
      <c r="B57" s="429"/>
      <c r="C57" s="429"/>
      <c r="D57" s="429"/>
      <c r="E57" s="429"/>
      <c r="F57" s="429"/>
      <c r="G57" s="429"/>
      <c r="H57" s="430"/>
      <c r="L57" s="164" t="s">
        <v>311</v>
      </c>
      <c r="M57" s="164" t="s">
        <v>312</v>
      </c>
      <c r="N57" s="166" t="s">
        <v>313</v>
      </c>
      <c r="O57" s="167" t="s">
        <v>314</v>
      </c>
      <c r="P57" s="167" t="s">
        <v>315</v>
      </c>
    </row>
    <row r="58" spans="1:16" ht="20" customHeight="1">
      <c r="A58" s="439" t="s">
        <v>298</v>
      </c>
      <c r="B58" s="439" t="s">
        <v>299</v>
      </c>
      <c r="C58" s="431" t="s">
        <v>300</v>
      </c>
      <c r="D58" s="432"/>
      <c r="E58" s="149">
        <v>44100.02</v>
      </c>
      <c r="F58" s="439" t="s">
        <v>301</v>
      </c>
      <c r="G58" s="150" t="s">
        <v>189</v>
      </c>
      <c r="H58" s="159" t="s">
        <v>316</v>
      </c>
      <c r="L58" s="163" t="s">
        <v>317</v>
      </c>
      <c r="M58" s="168"/>
      <c r="N58" s="168"/>
      <c r="O58" s="169"/>
      <c r="P58" s="445" t="s">
        <v>318</v>
      </c>
    </row>
    <row r="59" spans="1:16" ht="20" customHeight="1">
      <c r="A59" s="440"/>
      <c r="B59" s="440"/>
      <c r="C59" s="431" t="s">
        <v>302</v>
      </c>
      <c r="D59" s="432"/>
      <c r="E59" s="149">
        <v>790.19</v>
      </c>
      <c r="F59" s="440"/>
      <c r="G59" s="150" t="s">
        <v>195</v>
      </c>
      <c r="H59" s="159" t="s">
        <v>319</v>
      </c>
      <c r="L59" s="163" t="s">
        <v>320</v>
      </c>
      <c r="M59" s="168"/>
      <c r="N59" s="168"/>
      <c r="O59" s="169"/>
      <c r="P59" s="446"/>
    </row>
    <row r="60" spans="1:16" ht="20" customHeight="1">
      <c r="A60" s="440"/>
      <c r="B60" s="440"/>
      <c r="C60" s="431"/>
      <c r="D60" s="432"/>
      <c r="E60" s="149"/>
      <c r="F60" s="440"/>
      <c r="G60" s="150" t="s">
        <v>203</v>
      </c>
      <c r="H60" s="159" t="s">
        <v>321</v>
      </c>
      <c r="L60" s="163" t="s">
        <v>322</v>
      </c>
      <c r="M60" s="168"/>
      <c r="N60" s="168"/>
      <c r="O60" s="169"/>
      <c r="P60" s="446"/>
    </row>
    <row r="61" spans="1:16" ht="20" customHeight="1">
      <c r="A61" s="440"/>
      <c r="B61" s="440"/>
      <c r="C61" s="431"/>
      <c r="D61" s="432"/>
      <c r="E61" s="149"/>
      <c r="F61" s="440"/>
      <c r="G61" s="150" t="s">
        <v>206</v>
      </c>
      <c r="H61" s="159" t="s">
        <v>323</v>
      </c>
      <c r="L61" s="163" t="s">
        <v>324</v>
      </c>
      <c r="M61" s="168"/>
      <c r="N61" s="168"/>
      <c r="O61" s="169"/>
      <c r="P61" s="446"/>
    </row>
    <row r="62" spans="1:16" ht="20" customHeight="1">
      <c r="A62" s="440"/>
      <c r="B62" s="441"/>
      <c r="C62" s="431"/>
      <c r="D62" s="432"/>
      <c r="E62" s="149"/>
      <c r="F62" s="440"/>
      <c r="G62" s="150" t="s">
        <v>215</v>
      </c>
      <c r="H62" s="159" t="s">
        <v>325</v>
      </c>
      <c r="L62" s="163" t="s">
        <v>326</v>
      </c>
      <c r="M62" s="170">
        <v>38190.53</v>
      </c>
      <c r="N62" s="170">
        <v>24370.080000000002</v>
      </c>
      <c r="O62" s="171">
        <f>M62-N62</f>
        <v>13820.449999999997</v>
      </c>
      <c r="P62" s="446"/>
    </row>
    <row r="63" spans="1:16" ht="20" customHeight="1">
      <c r="A63" s="440"/>
      <c r="B63" s="431" t="s">
        <v>303</v>
      </c>
      <c r="C63" s="433"/>
      <c r="D63" s="432"/>
      <c r="E63" s="152">
        <v>44890.21</v>
      </c>
      <c r="F63" s="440"/>
      <c r="G63" s="150" t="s">
        <v>221</v>
      </c>
      <c r="H63" s="159" t="s">
        <v>327</v>
      </c>
      <c r="L63" s="163" t="s">
        <v>328</v>
      </c>
      <c r="M63" s="170">
        <v>40175.56</v>
      </c>
      <c r="N63" s="170">
        <v>2691.94</v>
      </c>
      <c r="O63" s="171">
        <f t="shared" ref="O63:O69" si="0">M63-N63</f>
        <v>37483.619999999995</v>
      </c>
      <c r="P63" s="446"/>
    </row>
    <row r="64" spans="1:16" ht="20" customHeight="1">
      <c r="A64" s="440"/>
      <c r="B64" s="439" t="s">
        <v>304</v>
      </c>
      <c r="C64" s="439" t="s">
        <v>282</v>
      </c>
      <c r="D64" s="146" t="s">
        <v>281</v>
      </c>
      <c r="E64" s="153">
        <v>48</v>
      </c>
      <c r="F64" s="440"/>
      <c r="G64" s="150" t="s">
        <v>224</v>
      </c>
      <c r="H64" s="160" t="s">
        <v>327</v>
      </c>
      <c r="L64" s="163" t="s">
        <v>329</v>
      </c>
      <c r="M64" s="170">
        <v>39604.050000000003</v>
      </c>
      <c r="N64" s="170">
        <v>10064.370000000001</v>
      </c>
      <c r="O64" s="171">
        <f t="shared" si="0"/>
        <v>29539.68</v>
      </c>
      <c r="P64" s="446"/>
    </row>
    <row r="65" spans="1:16" ht="20" customHeight="1">
      <c r="A65" s="440"/>
      <c r="B65" s="440"/>
      <c r="C65" s="441"/>
      <c r="D65" s="146" t="s">
        <v>283</v>
      </c>
      <c r="E65" s="153" t="s">
        <v>330</v>
      </c>
      <c r="F65" s="440"/>
      <c r="G65" s="150" t="s">
        <v>228</v>
      </c>
      <c r="H65" s="159" t="s">
        <v>327</v>
      </c>
      <c r="L65" s="163" t="s">
        <v>331</v>
      </c>
      <c r="M65" s="170">
        <v>107404.2</v>
      </c>
      <c r="N65" s="170">
        <v>10757.62</v>
      </c>
      <c r="O65" s="171">
        <f t="shared" si="0"/>
        <v>96646.58</v>
      </c>
      <c r="P65" s="446"/>
    </row>
    <row r="66" spans="1:16" ht="20" customHeight="1">
      <c r="A66" s="440"/>
      <c r="B66" s="440"/>
      <c r="C66" s="431" t="s">
        <v>303</v>
      </c>
      <c r="D66" s="434"/>
      <c r="E66" s="152">
        <v>48</v>
      </c>
      <c r="F66" s="440"/>
      <c r="G66" s="150" t="s">
        <v>230</v>
      </c>
      <c r="H66" s="156" t="s">
        <v>332</v>
      </c>
      <c r="L66" s="163" t="s">
        <v>333</v>
      </c>
      <c r="M66" s="170">
        <v>51452.11</v>
      </c>
      <c r="N66" s="170">
        <v>7633.75</v>
      </c>
      <c r="O66" s="171">
        <f t="shared" si="0"/>
        <v>43818.36</v>
      </c>
      <c r="P66" s="446"/>
    </row>
    <row r="67" spans="1:16" ht="20" customHeight="1">
      <c r="A67" s="440"/>
      <c r="B67" s="440"/>
      <c r="C67" s="439" t="s">
        <v>305</v>
      </c>
      <c r="D67" s="147" t="s">
        <v>284</v>
      </c>
      <c r="E67" s="149">
        <v>1083.55</v>
      </c>
      <c r="F67" s="440"/>
      <c r="G67" s="150" t="s">
        <v>236</v>
      </c>
      <c r="H67" s="156" t="s">
        <v>327</v>
      </c>
      <c r="L67" s="163" t="s">
        <v>334</v>
      </c>
      <c r="M67" s="170">
        <v>49409.04</v>
      </c>
      <c r="N67" s="170">
        <v>5228.53</v>
      </c>
      <c r="O67" s="171">
        <f t="shared" si="0"/>
        <v>44180.51</v>
      </c>
      <c r="P67" s="446"/>
    </row>
    <row r="68" spans="1:16" ht="20" customHeight="1">
      <c r="A68" s="440"/>
      <c r="B68" s="440"/>
      <c r="C68" s="440"/>
      <c r="D68" s="147" t="s">
        <v>286</v>
      </c>
      <c r="E68" s="149">
        <v>308.17</v>
      </c>
      <c r="F68" s="440"/>
      <c r="G68" s="150" t="s">
        <v>239</v>
      </c>
      <c r="H68" s="156" t="s">
        <v>327</v>
      </c>
      <c r="L68" s="163" t="s">
        <v>335</v>
      </c>
      <c r="M68" s="170">
        <v>44508.72</v>
      </c>
      <c r="N68" s="170">
        <v>7419.32</v>
      </c>
      <c r="O68" s="171">
        <f t="shared" si="0"/>
        <v>37089.4</v>
      </c>
      <c r="P68" s="446"/>
    </row>
    <row r="69" spans="1:16" ht="20" customHeight="1">
      <c r="A69" s="440"/>
      <c r="B69" s="440"/>
      <c r="C69" s="440"/>
      <c r="D69" s="147" t="s">
        <v>287</v>
      </c>
      <c r="E69" s="149">
        <v>291.29000000000002</v>
      </c>
      <c r="F69" s="440"/>
      <c r="G69" s="150" t="s">
        <v>241</v>
      </c>
      <c r="H69" s="156" t="s">
        <v>327</v>
      </c>
      <c r="L69" s="163" t="s">
        <v>336</v>
      </c>
      <c r="M69" s="170">
        <v>44890.21</v>
      </c>
      <c r="N69" s="170">
        <v>8047.67</v>
      </c>
      <c r="O69" s="171">
        <f t="shared" si="0"/>
        <v>36842.54</v>
      </c>
      <c r="P69" s="446"/>
    </row>
    <row r="70" spans="1:16" ht="20" customHeight="1">
      <c r="A70" s="440"/>
      <c r="B70" s="440"/>
      <c r="C70" s="440"/>
      <c r="D70" s="147" t="s">
        <v>288</v>
      </c>
      <c r="E70" s="149">
        <v>468.8</v>
      </c>
      <c r="F70" s="440"/>
      <c r="G70" s="150" t="s">
        <v>211</v>
      </c>
      <c r="H70" s="155" t="s">
        <v>337</v>
      </c>
      <c r="L70" s="165" t="s">
        <v>74</v>
      </c>
      <c r="M70" s="172">
        <f>SUM(M62:M69)</f>
        <v>415634.42</v>
      </c>
      <c r="N70" s="172">
        <f t="shared" ref="N70:O70" si="1">SUM(N62:N69)</f>
        <v>76213.279999999999</v>
      </c>
      <c r="O70" s="172">
        <f t="shared" si="1"/>
        <v>339421.14</v>
      </c>
      <c r="P70" s="446"/>
    </row>
    <row r="71" spans="1:16" ht="20" customHeight="1">
      <c r="A71" s="440"/>
      <c r="B71" s="440"/>
      <c r="C71" s="440"/>
      <c r="D71" s="147" t="s">
        <v>289</v>
      </c>
      <c r="E71" s="149">
        <v>-4192.87</v>
      </c>
      <c r="F71" s="440"/>
      <c r="G71" s="150" t="s">
        <v>213</v>
      </c>
      <c r="H71" s="156" t="s">
        <v>338</v>
      </c>
    </row>
    <row r="72" spans="1:16" ht="20" customHeight="1">
      <c r="A72" s="440"/>
      <c r="B72" s="440"/>
      <c r="C72" s="440"/>
      <c r="D72" s="147" t="s">
        <v>290</v>
      </c>
      <c r="E72" s="149">
        <v>-0.31</v>
      </c>
      <c r="F72" s="440"/>
      <c r="G72" s="150" t="s">
        <v>222</v>
      </c>
      <c r="H72" s="156" t="s">
        <v>339</v>
      </c>
    </row>
    <row r="73" spans="1:16" ht="20" customHeight="1">
      <c r="A73" s="440"/>
      <c r="B73" s="440"/>
      <c r="C73" s="440"/>
      <c r="D73" s="147" t="s">
        <v>291</v>
      </c>
      <c r="E73" s="149">
        <v>667.34</v>
      </c>
      <c r="F73" s="440"/>
      <c r="G73" s="150" t="s">
        <v>201</v>
      </c>
      <c r="H73" s="156" t="s">
        <v>340</v>
      </c>
    </row>
    <row r="74" spans="1:16" ht="20" customHeight="1">
      <c r="A74" s="440"/>
      <c r="B74" s="440"/>
      <c r="C74" s="440"/>
      <c r="D74" s="147" t="s">
        <v>292</v>
      </c>
      <c r="E74" s="149">
        <v>29.26</v>
      </c>
      <c r="F74" s="440"/>
      <c r="G74" s="150"/>
      <c r="H74" s="157"/>
    </row>
    <row r="75" spans="1:16" ht="20" customHeight="1">
      <c r="A75" s="440"/>
      <c r="B75" s="440"/>
      <c r="C75" s="440"/>
      <c r="D75" s="147" t="s">
        <v>293</v>
      </c>
      <c r="E75" s="149">
        <v>-491.01</v>
      </c>
      <c r="F75" s="440"/>
      <c r="G75" s="150"/>
      <c r="H75" s="157"/>
    </row>
    <row r="76" spans="1:16" ht="20" customHeight="1">
      <c r="A76" s="440"/>
      <c r="B76" s="440"/>
      <c r="C76" s="440"/>
      <c r="D76" s="147" t="s">
        <v>294</v>
      </c>
      <c r="E76" s="149">
        <v>359.81</v>
      </c>
      <c r="F76" s="440"/>
      <c r="G76" s="150"/>
      <c r="H76" s="157"/>
    </row>
    <row r="77" spans="1:16" ht="20" customHeight="1">
      <c r="A77" s="440"/>
      <c r="B77" s="440"/>
      <c r="C77" s="441"/>
      <c r="D77" s="147" t="s">
        <v>295</v>
      </c>
      <c r="E77" s="149">
        <v>-1137.95</v>
      </c>
      <c r="F77" s="440"/>
      <c r="G77" s="150"/>
      <c r="H77" s="157"/>
    </row>
    <row r="78" spans="1:16" ht="20" customHeight="1">
      <c r="A78" s="440"/>
      <c r="B78" s="441"/>
      <c r="C78" s="431" t="s">
        <v>303</v>
      </c>
      <c r="D78" s="434"/>
      <c r="E78" s="149">
        <v>-2613.92</v>
      </c>
      <c r="F78" s="440"/>
      <c r="G78" s="150"/>
      <c r="H78" s="157"/>
    </row>
    <row r="79" spans="1:16" ht="20" customHeight="1">
      <c r="A79" s="441"/>
      <c r="B79" s="431" t="s">
        <v>303</v>
      </c>
      <c r="C79" s="433"/>
      <c r="D79" s="432"/>
      <c r="E79" s="152">
        <v>-2565.92</v>
      </c>
      <c r="F79" s="441"/>
      <c r="G79" s="150"/>
      <c r="H79" s="157"/>
    </row>
    <row r="80" spans="1:16" ht="20" customHeight="1">
      <c r="A80" s="431" t="s">
        <v>176</v>
      </c>
      <c r="B80" s="433"/>
      <c r="C80" s="433"/>
      <c r="D80" s="432"/>
      <c r="E80" s="152">
        <v>42324.29</v>
      </c>
      <c r="F80" s="431" t="s">
        <v>306</v>
      </c>
      <c r="G80" s="432"/>
      <c r="H80" s="158" t="s">
        <v>341</v>
      </c>
    </row>
    <row r="81" spans="1:8" ht="20" customHeight="1">
      <c r="A81" s="431" t="s">
        <v>307</v>
      </c>
      <c r="B81" s="433"/>
      <c r="C81" s="433"/>
      <c r="D81" s="433"/>
      <c r="E81" s="434"/>
      <c r="F81" s="435">
        <v>34276.620000000003</v>
      </c>
      <c r="G81" s="436"/>
      <c r="H81" s="437"/>
    </row>
    <row r="82" spans="1:8" ht="20" customHeight="1">
      <c r="A82" s="148"/>
      <c r="B82" s="148"/>
      <c r="C82" s="148"/>
      <c r="D82" s="148"/>
      <c r="E82" s="161"/>
      <c r="F82" s="148"/>
      <c r="G82" s="148"/>
      <c r="H82" s="162"/>
    </row>
    <row r="83" spans="1:8" ht="20" customHeight="1">
      <c r="A83" s="425" t="s">
        <v>342</v>
      </c>
      <c r="B83" s="426"/>
      <c r="C83" s="426"/>
      <c r="D83" s="426"/>
      <c r="E83" s="426"/>
      <c r="F83" s="426"/>
      <c r="G83" s="426"/>
      <c r="H83" s="427"/>
    </row>
    <row r="84" spans="1:8" ht="20" customHeight="1">
      <c r="A84" s="428" t="s">
        <v>343</v>
      </c>
      <c r="B84" s="429"/>
      <c r="C84" s="429"/>
      <c r="D84" s="429"/>
      <c r="E84" s="429"/>
      <c r="F84" s="429"/>
      <c r="G84" s="429"/>
      <c r="H84" s="430"/>
    </row>
    <row r="85" spans="1:8" ht="20" customHeight="1">
      <c r="A85" s="439" t="s">
        <v>298</v>
      </c>
      <c r="B85" s="439" t="s">
        <v>299</v>
      </c>
      <c r="C85" s="431" t="s">
        <v>300</v>
      </c>
      <c r="D85" s="432"/>
      <c r="E85" s="149">
        <v>43718.53</v>
      </c>
      <c r="F85" s="439" t="s">
        <v>301</v>
      </c>
      <c r="G85" s="150" t="s">
        <v>189</v>
      </c>
      <c r="H85" s="159" t="s">
        <v>344</v>
      </c>
    </row>
    <row r="86" spans="1:8" ht="20" customHeight="1">
      <c r="A86" s="440"/>
      <c r="B86" s="440"/>
      <c r="C86" s="431" t="s">
        <v>302</v>
      </c>
      <c r="D86" s="432"/>
      <c r="E86" s="149">
        <v>790.19</v>
      </c>
      <c r="F86" s="440"/>
      <c r="G86" s="150" t="s">
        <v>195</v>
      </c>
      <c r="H86" s="159" t="s">
        <v>345</v>
      </c>
    </row>
    <row r="87" spans="1:8" ht="20" customHeight="1">
      <c r="A87" s="440"/>
      <c r="B87" s="440"/>
      <c r="C87" s="431"/>
      <c r="D87" s="432"/>
      <c r="E87" s="149"/>
      <c r="F87" s="440"/>
      <c r="G87" s="150" t="s">
        <v>203</v>
      </c>
      <c r="H87" s="159" t="s">
        <v>346</v>
      </c>
    </row>
    <row r="88" spans="1:8" ht="20" customHeight="1">
      <c r="A88" s="440"/>
      <c r="B88" s="440"/>
      <c r="C88" s="431"/>
      <c r="D88" s="432"/>
      <c r="E88" s="149"/>
      <c r="F88" s="440"/>
      <c r="G88" s="150" t="s">
        <v>206</v>
      </c>
      <c r="H88" s="159" t="s">
        <v>347</v>
      </c>
    </row>
    <row r="89" spans="1:8" ht="20" customHeight="1">
      <c r="A89" s="440"/>
      <c r="B89" s="441"/>
      <c r="C89" s="431"/>
      <c r="D89" s="432"/>
      <c r="E89" s="149"/>
      <c r="F89" s="440"/>
      <c r="G89" s="150" t="s">
        <v>215</v>
      </c>
      <c r="H89" s="159" t="s">
        <v>327</v>
      </c>
    </row>
    <row r="90" spans="1:8" ht="20" customHeight="1">
      <c r="A90" s="440"/>
      <c r="B90" s="431" t="s">
        <v>303</v>
      </c>
      <c r="C90" s="433"/>
      <c r="D90" s="432"/>
      <c r="E90" s="152">
        <v>44508.72</v>
      </c>
      <c r="F90" s="440"/>
      <c r="G90" s="150" t="s">
        <v>221</v>
      </c>
      <c r="H90" s="159" t="s">
        <v>327</v>
      </c>
    </row>
    <row r="91" spans="1:8" ht="20" customHeight="1">
      <c r="A91" s="440"/>
      <c r="B91" s="439" t="s">
        <v>304</v>
      </c>
      <c r="C91" s="439" t="s">
        <v>282</v>
      </c>
      <c r="D91" s="146" t="s">
        <v>281</v>
      </c>
      <c r="E91" s="153">
        <v>431.84</v>
      </c>
      <c r="F91" s="440"/>
      <c r="G91" s="150" t="s">
        <v>224</v>
      </c>
      <c r="H91" s="160" t="s">
        <v>327</v>
      </c>
    </row>
    <row r="92" spans="1:8" ht="20" customHeight="1">
      <c r="A92" s="440"/>
      <c r="B92" s="440"/>
      <c r="C92" s="441"/>
      <c r="D92" s="146" t="s">
        <v>283</v>
      </c>
      <c r="E92" s="153" t="s">
        <v>330</v>
      </c>
      <c r="F92" s="440"/>
      <c r="G92" s="150" t="s">
        <v>228</v>
      </c>
      <c r="H92" s="159" t="s">
        <v>348</v>
      </c>
    </row>
    <row r="93" spans="1:8" ht="20" customHeight="1">
      <c r="A93" s="440"/>
      <c r="B93" s="440"/>
      <c r="C93" s="431" t="s">
        <v>303</v>
      </c>
      <c r="D93" s="434"/>
      <c r="E93" s="152">
        <v>431.84</v>
      </c>
      <c r="F93" s="440"/>
      <c r="G93" s="150" t="s">
        <v>230</v>
      </c>
      <c r="H93" s="156" t="s">
        <v>349</v>
      </c>
    </row>
    <row r="94" spans="1:8" ht="20" customHeight="1">
      <c r="A94" s="440"/>
      <c r="B94" s="440"/>
      <c r="C94" s="439" t="s">
        <v>305</v>
      </c>
      <c r="D94" s="147" t="s">
        <v>284</v>
      </c>
      <c r="E94" s="149">
        <v>261.48</v>
      </c>
      <c r="F94" s="440"/>
      <c r="G94" s="150" t="s">
        <v>236</v>
      </c>
      <c r="H94" s="156" t="s">
        <v>327</v>
      </c>
    </row>
    <row r="95" spans="1:8" ht="20" customHeight="1">
      <c r="A95" s="440"/>
      <c r="B95" s="440"/>
      <c r="C95" s="440"/>
      <c r="D95" s="147" t="s">
        <v>286</v>
      </c>
      <c r="E95" s="149">
        <v>306.63</v>
      </c>
      <c r="F95" s="440"/>
      <c r="G95" s="150" t="s">
        <v>239</v>
      </c>
      <c r="H95" s="156" t="s">
        <v>327</v>
      </c>
    </row>
    <row r="96" spans="1:8" ht="20" customHeight="1">
      <c r="A96" s="440"/>
      <c r="B96" s="440"/>
      <c r="C96" s="440"/>
      <c r="D96" s="147" t="s">
        <v>287</v>
      </c>
      <c r="E96" s="149">
        <v>34.82</v>
      </c>
      <c r="F96" s="440"/>
      <c r="G96" s="150" t="s">
        <v>241</v>
      </c>
      <c r="H96" s="156" t="s">
        <v>327</v>
      </c>
    </row>
    <row r="97" spans="1:8" ht="20" customHeight="1">
      <c r="A97" s="440"/>
      <c r="B97" s="440"/>
      <c r="C97" s="440"/>
      <c r="D97" s="147" t="s">
        <v>288</v>
      </c>
      <c r="E97" s="149">
        <v>548.41999999999996</v>
      </c>
      <c r="F97" s="440"/>
      <c r="G97" s="150" t="s">
        <v>211</v>
      </c>
      <c r="H97" s="156" t="s">
        <v>350</v>
      </c>
    </row>
    <row r="98" spans="1:8" ht="20" customHeight="1">
      <c r="A98" s="440"/>
      <c r="B98" s="440"/>
      <c r="C98" s="440"/>
      <c r="D98" s="147" t="s">
        <v>289</v>
      </c>
      <c r="E98" s="149">
        <v>2216.56</v>
      </c>
      <c r="F98" s="440"/>
      <c r="G98" s="150" t="s">
        <v>213</v>
      </c>
      <c r="H98" s="155" t="s">
        <v>351</v>
      </c>
    </row>
    <row r="99" spans="1:8" ht="20" customHeight="1">
      <c r="A99" s="440"/>
      <c r="B99" s="440"/>
      <c r="C99" s="440"/>
      <c r="D99" s="147" t="s">
        <v>290</v>
      </c>
      <c r="E99" s="149">
        <v>3.97</v>
      </c>
      <c r="F99" s="440"/>
      <c r="G99" s="150" t="s">
        <v>222</v>
      </c>
      <c r="H99" s="156" t="s">
        <v>352</v>
      </c>
    </row>
    <row r="100" spans="1:8" ht="20" customHeight="1">
      <c r="A100" s="440"/>
      <c r="B100" s="440"/>
      <c r="C100" s="440"/>
      <c r="D100" s="147" t="s">
        <v>291</v>
      </c>
      <c r="E100" s="149">
        <v>1598.51</v>
      </c>
      <c r="F100" s="440"/>
      <c r="G100" s="150" t="s">
        <v>201</v>
      </c>
      <c r="H100" s="156" t="s">
        <v>353</v>
      </c>
    </row>
    <row r="101" spans="1:8" ht="20" customHeight="1">
      <c r="A101" s="440"/>
      <c r="B101" s="440"/>
      <c r="C101" s="440"/>
      <c r="D101" s="147" t="s">
        <v>292</v>
      </c>
      <c r="E101" s="149">
        <v>-4.32</v>
      </c>
      <c r="F101" s="440"/>
      <c r="G101" s="150"/>
      <c r="H101" s="157"/>
    </row>
    <row r="102" spans="1:8" ht="20" customHeight="1">
      <c r="A102" s="440"/>
      <c r="B102" s="440"/>
      <c r="C102" s="440"/>
      <c r="D102" s="147" t="s">
        <v>293</v>
      </c>
      <c r="E102" s="149">
        <v>239.6</v>
      </c>
      <c r="F102" s="440"/>
      <c r="G102" s="150"/>
      <c r="H102" s="157"/>
    </row>
    <row r="103" spans="1:8" ht="20" customHeight="1">
      <c r="A103" s="440"/>
      <c r="B103" s="440"/>
      <c r="C103" s="440"/>
      <c r="D103" s="147" t="s">
        <v>294</v>
      </c>
      <c r="E103" s="149">
        <v>1318.02</v>
      </c>
      <c r="F103" s="440"/>
      <c r="G103" s="150"/>
      <c r="H103" s="157"/>
    </row>
    <row r="104" spans="1:8" ht="20" customHeight="1">
      <c r="A104" s="440"/>
      <c r="B104" s="440"/>
      <c r="C104" s="441"/>
      <c r="D104" s="147" t="s">
        <v>295</v>
      </c>
      <c r="E104" s="149">
        <v>654.07000000000005</v>
      </c>
      <c r="F104" s="440"/>
      <c r="G104" s="150"/>
      <c r="H104" s="157"/>
    </row>
    <row r="105" spans="1:8" ht="20" customHeight="1">
      <c r="A105" s="440"/>
      <c r="B105" s="441"/>
      <c r="C105" s="431" t="s">
        <v>303</v>
      </c>
      <c r="D105" s="434"/>
      <c r="E105" s="149"/>
      <c r="F105" s="440"/>
      <c r="G105" s="150"/>
      <c r="H105" s="157"/>
    </row>
    <row r="106" spans="1:8" ht="20" customHeight="1">
      <c r="A106" s="441"/>
      <c r="B106" s="431" t="s">
        <v>303</v>
      </c>
      <c r="C106" s="433"/>
      <c r="D106" s="432"/>
      <c r="E106" s="152">
        <v>431.84</v>
      </c>
      <c r="F106" s="441"/>
      <c r="G106" s="150"/>
      <c r="H106" s="157"/>
    </row>
    <row r="107" spans="1:8" ht="20" customHeight="1">
      <c r="A107" s="431" t="s">
        <v>176</v>
      </c>
      <c r="B107" s="433"/>
      <c r="C107" s="433"/>
      <c r="D107" s="432"/>
      <c r="E107" s="152">
        <v>44940.56</v>
      </c>
      <c r="F107" s="431" t="s">
        <v>306</v>
      </c>
      <c r="G107" s="432"/>
      <c r="H107" s="158" t="s">
        <v>354</v>
      </c>
    </row>
    <row r="108" spans="1:8" ht="20" customHeight="1">
      <c r="A108" s="431" t="s">
        <v>307</v>
      </c>
      <c r="B108" s="433"/>
      <c r="C108" s="433"/>
      <c r="D108" s="433"/>
      <c r="E108" s="434"/>
      <c r="F108" s="435">
        <v>37521.24</v>
      </c>
      <c r="G108" s="436"/>
      <c r="H108" s="437"/>
    </row>
    <row r="109" spans="1:8" ht="20" customHeight="1">
      <c r="A109" s="148"/>
      <c r="B109" s="148"/>
      <c r="C109" s="148"/>
      <c r="D109" s="148"/>
      <c r="E109" s="161"/>
      <c r="F109" s="148"/>
      <c r="G109" s="148"/>
      <c r="H109" s="162"/>
    </row>
    <row r="110" spans="1:8" ht="20" customHeight="1">
      <c r="A110" s="148"/>
      <c r="B110" s="148"/>
      <c r="C110" s="148"/>
      <c r="D110" s="148"/>
      <c r="E110" s="161"/>
      <c r="F110" s="148"/>
      <c r="G110" s="148"/>
      <c r="H110" s="162"/>
    </row>
    <row r="111" spans="1:8" ht="20" customHeight="1">
      <c r="A111" s="425" t="s">
        <v>355</v>
      </c>
      <c r="B111" s="426"/>
      <c r="C111" s="426"/>
      <c r="D111" s="426"/>
      <c r="E111" s="426"/>
      <c r="F111" s="426"/>
      <c r="G111" s="426"/>
      <c r="H111" s="427"/>
    </row>
    <row r="112" spans="1:8" ht="20" customHeight="1">
      <c r="A112" s="428" t="s">
        <v>356</v>
      </c>
      <c r="B112" s="429"/>
      <c r="C112" s="429"/>
      <c r="D112" s="429"/>
      <c r="E112" s="429"/>
      <c r="F112" s="429"/>
      <c r="G112" s="429"/>
      <c r="H112" s="430"/>
    </row>
    <row r="113" spans="1:8" ht="20" customHeight="1">
      <c r="A113" s="439" t="s">
        <v>298</v>
      </c>
      <c r="B113" s="439" t="s">
        <v>299</v>
      </c>
      <c r="C113" s="431" t="s">
        <v>300</v>
      </c>
      <c r="D113" s="432"/>
      <c r="E113" s="149">
        <v>48512.11</v>
      </c>
      <c r="F113" s="439" t="s">
        <v>301</v>
      </c>
      <c r="G113" s="150" t="s">
        <v>235</v>
      </c>
      <c r="H113" s="159" t="s">
        <v>327</v>
      </c>
    </row>
    <row r="114" spans="1:8" ht="20" customHeight="1">
      <c r="A114" s="440"/>
      <c r="B114" s="440"/>
      <c r="C114" s="431" t="s">
        <v>302</v>
      </c>
      <c r="D114" s="432"/>
      <c r="E114" s="149">
        <v>790.48</v>
      </c>
      <c r="F114" s="440"/>
      <c r="G114" s="150" t="s">
        <v>212</v>
      </c>
      <c r="H114" s="160" t="s">
        <v>357</v>
      </c>
    </row>
    <row r="115" spans="1:8" ht="20" customHeight="1">
      <c r="A115" s="440"/>
      <c r="B115" s="440"/>
      <c r="C115" s="431" t="s">
        <v>358</v>
      </c>
      <c r="D115" s="432"/>
      <c r="E115" s="149">
        <v>106.45</v>
      </c>
      <c r="F115" s="440"/>
      <c r="G115" s="150" t="s">
        <v>227</v>
      </c>
      <c r="H115" s="159" t="s">
        <v>359</v>
      </c>
    </row>
    <row r="116" spans="1:8" ht="20" customHeight="1">
      <c r="A116" s="440"/>
      <c r="B116" s="440"/>
      <c r="C116" s="431"/>
      <c r="D116" s="432"/>
      <c r="E116" s="149"/>
      <c r="F116" s="440"/>
      <c r="G116" s="150" t="s">
        <v>189</v>
      </c>
      <c r="H116" s="159" t="s">
        <v>360</v>
      </c>
    </row>
    <row r="117" spans="1:8" ht="20" customHeight="1">
      <c r="A117" s="440"/>
      <c r="B117" s="441"/>
      <c r="C117" s="431"/>
      <c r="D117" s="432"/>
      <c r="E117" s="149"/>
      <c r="F117" s="440"/>
      <c r="G117" s="150" t="s">
        <v>195</v>
      </c>
      <c r="H117" s="159" t="s">
        <v>361</v>
      </c>
    </row>
    <row r="118" spans="1:8" ht="20" customHeight="1">
      <c r="A118" s="440"/>
      <c r="B118" s="431" t="s">
        <v>303</v>
      </c>
      <c r="C118" s="433"/>
      <c r="D118" s="432"/>
      <c r="E118" s="152">
        <v>49409.04</v>
      </c>
      <c r="F118" s="440"/>
      <c r="G118" s="150" t="s">
        <v>194</v>
      </c>
      <c r="H118" s="159" t="s">
        <v>327</v>
      </c>
    </row>
    <row r="119" spans="1:8" ht="20" customHeight="1">
      <c r="A119" s="440"/>
      <c r="B119" s="439" t="s">
        <v>304</v>
      </c>
      <c r="C119" s="439" t="s">
        <v>282</v>
      </c>
      <c r="D119" s="146" t="s">
        <v>281</v>
      </c>
      <c r="E119" s="153">
        <v>357.74</v>
      </c>
      <c r="F119" s="440"/>
      <c r="G119" s="150" t="s">
        <v>211</v>
      </c>
      <c r="H119" s="159" t="s">
        <v>362</v>
      </c>
    </row>
    <row r="120" spans="1:8" ht="20" customHeight="1">
      <c r="A120" s="440"/>
      <c r="B120" s="440"/>
      <c r="C120" s="441"/>
      <c r="D120" s="146" t="s">
        <v>283</v>
      </c>
      <c r="E120" s="153" t="s">
        <v>330</v>
      </c>
      <c r="F120" s="440"/>
      <c r="G120" s="150" t="s">
        <v>201</v>
      </c>
      <c r="H120" s="159" t="s">
        <v>363</v>
      </c>
    </row>
    <row r="121" spans="1:8" ht="20" customHeight="1">
      <c r="A121" s="440"/>
      <c r="B121" s="440"/>
      <c r="C121" s="431" t="s">
        <v>303</v>
      </c>
      <c r="D121" s="434"/>
      <c r="E121" s="152">
        <v>357.74</v>
      </c>
      <c r="F121" s="440"/>
      <c r="G121" s="150"/>
      <c r="H121" s="159" t="s">
        <v>364</v>
      </c>
    </row>
    <row r="122" spans="1:8" ht="20" customHeight="1">
      <c r="A122" s="440"/>
      <c r="B122" s="440"/>
      <c r="C122" s="439" t="s">
        <v>305</v>
      </c>
      <c r="D122" s="147" t="s">
        <v>284</v>
      </c>
      <c r="E122" s="149">
        <v>1276.77</v>
      </c>
      <c r="F122" s="440"/>
      <c r="G122" s="150"/>
      <c r="H122" s="157"/>
    </row>
    <row r="123" spans="1:8" ht="20" customHeight="1">
      <c r="A123" s="440"/>
      <c r="B123" s="440"/>
      <c r="C123" s="440"/>
      <c r="D123" s="147" t="s">
        <v>286</v>
      </c>
      <c r="E123" s="149">
        <v>-161.88999999999999</v>
      </c>
      <c r="F123" s="440"/>
      <c r="G123" s="150"/>
      <c r="H123" s="157"/>
    </row>
    <row r="124" spans="1:8" ht="20" customHeight="1">
      <c r="A124" s="440"/>
      <c r="B124" s="440"/>
      <c r="C124" s="440"/>
      <c r="D124" s="147" t="s">
        <v>287</v>
      </c>
      <c r="E124" s="149">
        <v>63.54</v>
      </c>
      <c r="F124" s="440"/>
      <c r="G124" s="150"/>
      <c r="H124" s="157"/>
    </row>
    <row r="125" spans="1:8" ht="20" customHeight="1">
      <c r="A125" s="440"/>
      <c r="B125" s="440"/>
      <c r="C125" s="440"/>
      <c r="D125" s="147" t="s">
        <v>288</v>
      </c>
      <c r="E125" s="149">
        <v>327.9</v>
      </c>
      <c r="F125" s="440"/>
      <c r="G125" s="150"/>
      <c r="H125" s="157"/>
    </row>
    <row r="126" spans="1:8" ht="20" customHeight="1">
      <c r="A126" s="440"/>
      <c r="B126" s="440"/>
      <c r="C126" s="440"/>
      <c r="D126" s="147" t="s">
        <v>289</v>
      </c>
      <c r="E126" s="149">
        <v>448.41</v>
      </c>
      <c r="F126" s="440"/>
      <c r="G126" s="150"/>
      <c r="H126" s="157"/>
    </row>
    <row r="127" spans="1:8" ht="20" customHeight="1">
      <c r="A127" s="440"/>
      <c r="B127" s="440"/>
      <c r="C127" s="440"/>
      <c r="D127" s="147" t="s">
        <v>290</v>
      </c>
      <c r="E127" s="149">
        <v>9.6199999999999992</v>
      </c>
      <c r="F127" s="440"/>
      <c r="G127" s="150"/>
      <c r="H127" s="157"/>
    </row>
    <row r="128" spans="1:8" ht="20" customHeight="1">
      <c r="A128" s="440"/>
      <c r="B128" s="440"/>
      <c r="C128" s="440"/>
      <c r="D128" s="147" t="s">
        <v>291</v>
      </c>
      <c r="E128" s="149">
        <v>1023.72</v>
      </c>
      <c r="F128" s="440"/>
      <c r="G128" s="150"/>
      <c r="H128" s="157"/>
    </row>
    <row r="129" spans="1:8" ht="20" customHeight="1">
      <c r="A129" s="440"/>
      <c r="B129" s="440"/>
      <c r="C129" s="440"/>
      <c r="D129" s="147" t="s">
        <v>292</v>
      </c>
      <c r="E129" s="149">
        <v>5.3</v>
      </c>
      <c r="F129" s="440"/>
      <c r="G129" s="150"/>
      <c r="H129" s="157"/>
    </row>
    <row r="130" spans="1:8" ht="20" customHeight="1">
      <c r="A130" s="440"/>
      <c r="B130" s="440"/>
      <c r="C130" s="440"/>
      <c r="D130" s="147" t="s">
        <v>293</v>
      </c>
      <c r="E130" s="149">
        <v>105.76</v>
      </c>
      <c r="F130" s="440"/>
      <c r="G130" s="150"/>
      <c r="H130" s="157"/>
    </row>
    <row r="131" spans="1:8" ht="20" customHeight="1">
      <c r="A131" s="440"/>
      <c r="B131" s="440"/>
      <c r="C131" s="440"/>
      <c r="D131" s="147" t="s">
        <v>294</v>
      </c>
      <c r="E131" s="149">
        <v>-191.29</v>
      </c>
      <c r="F131" s="440"/>
      <c r="G131" s="150"/>
      <c r="H131" s="157"/>
    </row>
    <row r="132" spans="1:8" ht="20" customHeight="1">
      <c r="A132" s="440"/>
      <c r="B132" s="440"/>
      <c r="C132" s="441"/>
      <c r="D132" s="147" t="s">
        <v>295</v>
      </c>
      <c r="E132" s="149">
        <v>816.38</v>
      </c>
      <c r="F132" s="440"/>
      <c r="G132" s="150"/>
      <c r="H132" s="157"/>
    </row>
    <row r="133" spans="1:8" ht="20" customHeight="1">
      <c r="A133" s="440"/>
      <c r="B133" s="441"/>
      <c r="C133" s="431" t="s">
        <v>303</v>
      </c>
      <c r="D133" s="434"/>
      <c r="E133" s="149">
        <v>3724.22</v>
      </c>
      <c r="F133" s="440"/>
      <c r="G133" s="150"/>
      <c r="H133" s="157"/>
    </row>
    <row r="134" spans="1:8" ht="20" customHeight="1">
      <c r="A134" s="441"/>
      <c r="B134" s="431" t="s">
        <v>303</v>
      </c>
      <c r="C134" s="433"/>
      <c r="D134" s="432"/>
      <c r="E134" s="152">
        <v>4081.96</v>
      </c>
      <c r="F134" s="441"/>
      <c r="G134" s="150"/>
      <c r="H134" s="157"/>
    </row>
    <row r="135" spans="1:8" ht="20" customHeight="1">
      <c r="A135" s="431" t="s">
        <v>176</v>
      </c>
      <c r="B135" s="433"/>
      <c r="C135" s="433"/>
      <c r="D135" s="432"/>
      <c r="E135" s="152">
        <v>53491</v>
      </c>
      <c r="F135" s="431" t="s">
        <v>306</v>
      </c>
      <c r="G135" s="432"/>
      <c r="H135" s="158" t="s">
        <v>365</v>
      </c>
    </row>
    <row r="136" spans="1:8" ht="20" customHeight="1">
      <c r="A136" s="431" t="s">
        <v>307</v>
      </c>
      <c r="B136" s="433"/>
      <c r="C136" s="433"/>
      <c r="D136" s="433"/>
      <c r="E136" s="434"/>
      <c r="F136" s="435">
        <v>48262.47</v>
      </c>
      <c r="G136" s="436"/>
      <c r="H136" s="437"/>
    </row>
    <row r="137" spans="1:8" ht="20" customHeight="1">
      <c r="A137" s="148"/>
      <c r="B137" s="148"/>
      <c r="C137" s="148"/>
      <c r="D137" s="148"/>
      <c r="E137" s="161"/>
      <c r="F137" s="148"/>
      <c r="G137" s="148"/>
      <c r="H137" s="162"/>
    </row>
    <row r="138" spans="1:8" ht="20" customHeight="1">
      <c r="A138" s="148"/>
      <c r="B138" s="148"/>
      <c r="C138" s="148"/>
      <c r="D138" s="148"/>
      <c r="E138" s="161"/>
      <c r="F138" s="148"/>
      <c r="G138" s="148"/>
      <c r="H138" s="162"/>
    </row>
    <row r="139" spans="1:8" ht="20" customHeight="1">
      <c r="A139" s="425" t="s">
        <v>366</v>
      </c>
      <c r="B139" s="426"/>
      <c r="C139" s="426"/>
      <c r="D139" s="426"/>
      <c r="E139" s="426"/>
      <c r="F139" s="426"/>
      <c r="G139" s="426"/>
      <c r="H139" s="427"/>
    </row>
    <row r="140" spans="1:8" ht="20" customHeight="1">
      <c r="A140" s="428" t="s">
        <v>367</v>
      </c>
      <c r="B140" s="429"/>
      <c r="C140" s="429"/>
      <c r="D140" s="429"/>
      <c r="E140" s="429"/>
      <c r="F140" s="429"/>
      <c r="G140" s="429"/>
      <c r="H140" s="430"/>
    </row>
    <row r="141" spans="1:8" ht="20" customHeight="1">
      <c r="A141" s="439" t="s">
        <v>298</v>
      </c>
      <c r="B141" s="439" t="s">
        <v>299</v>
      </c>
      <c r="C141" s="431" t="s">
        <v>300</v>
      </c>
      <c r="D141" s="432"/>
      <c r="E141" s="149">
        <v>51302.11</v>
      </c>
      <c r="F141" s="439" t="s">
        <v>301</v>
      </c>
      <c r="G141" s="150" t="s">
        <v>235</v>
      </c>
      <c r="H141" s="159" t="s">
        <v>327</v>
      </c>
    </row>
    <row r="142" spans="1:8" ht="20" customHeight="1">
      <c r="A142" s="440"/>
      <c r="B142" s="440"/>
      <c r="C142" s="431" t="s">
        <v>302</v>
      </c>
      <c r="D142" s="432"/>
      <c r="E142" s="149">
        <v>150</v>
      </c>
      <c r="F142" s="440"/>
      <c r="G142" s="150" t="s">
        <v>212</v>
      </c>
      <c r="H142" s="159" t="s">
        <v>327</v>
      </c>
    </row>
    <row r="143" spans="1:8" ht="20" customHeight="1">
      <c r="A143" s="440"/>
      <c r="B143" s="440"/>
      <c r="C143" s="431"/>
      <c r="D143" s="432"/>
      <c r="E143" s="149"/>
      <c r="F143" s="440"/>
      <c r="G143" s="150" t="s">
        <v>227</v>
      </c>
      <c r="H143" s="160" t="s">
        <v>368</v>
      </c>
    </row>
    <row r="144" spans="1:8" ht="20" customHeight="1">
      <c r="A144" s="440"/>
      <c r="B144" s="440"/>
      <c r="C144" s="431"/>
      <c r="D144" s="432"/>
      <c r="E144" s="149"/>
      <c r="F144" s="440"/>
      <c r="G144" s="150" t="s">
        <v>189</v>
      </c>
      <c r="H144" s="159" t="s">
        <v>369</v>
      </c>
    </row>
    <row r="145" spans="1:8" ht="20" customHeight="1">
      <c r="A145" s="440"/>
      <c r="B145" s="441"/>
      <c r="C145" s="431"/>
      <c r="D145" s="432"/>
      <c r="E145" s="149"/>
      <c r="F145" s="440"/>
      <c r="G145" s="150" t="s">
        <v>195</v>
      </c>
      <c r="H145" s="159" t="s">
        <v>370</v>
      </c>
    </row>
    <row r="146" spans="1:8" ht="20" customHeight="1">
      <c r="A146" s="440"/>
      <c r="B146" s="431" t="s">
        <v>303</v>
      </c>
      <c r="C146" s="433"/>
      <c r="D146" s="432"/>
      <c r="E146" s="152">
        <v>51452.11</v>
      </c>
      <c r="F146" s="440"/>
      <c r="G146" s="150" t="s">
        <v>194</v>
      </c>
      <c r="H146" s="159" t="s">
        <v>327</v>
      </c>
    </row>
    <row r="147" spans="1:8" ht="20" customHeight="1">
      <c r="A147" s="440"/>
      <c r="B147" s="439" t="s">
        <v>304</v>
      </c>
      <c r="C147" s="439" t="s">
        <v>282</v>
      </c>
      <c r="D147" s="146" t="s">
        <v>281</v>
      </c>
      <c r="E147" s="153">
        <v>-110.72</v>
      </c>
      <c r="F147" s="440"/>
      <c r="G147" s="150" t="s">
        <v>211</v>
      </c>
      <c r="H147" s="160" t="s">
        <v>371</v>
      </c>
    </row>
    <row r="148" spans="1:8" ht="20" customHeight="1">
      <c r="A148" s="440"/>
      <c r="B148" s="440"/>
      <c r="C148" s="441"/>
      <c r="D148" s="146" t="s">
        <v>283</v>
      </c>
      <c r="E148" s="153" t="s">
        <v>330</v>
      </c>
      <c r="F148" s="440"/>
      <c r="G148" s="150" t="s">
        <v>201</v>
      </c>
      <c r="H148" s="159" t="s">
        <v>372</v>
      </c>
    </row>
    <row r="149" spans="1:8" ht="20" customHeight="1">
      <c r="A149" s="440"/>
      <c r="B149" s="440"/>
      <c r="C149" s="431" t="s">
        <v>303</v>
      </c>
      <c r="D149" s="434"/>
      <c r="E149" s="152">
        <v>-110.72</v>
      </c>
      <c r="F149" s="440"/>
      <c r="G149" s="150"/>
      <c r="H149" s="157"/>
    </row>
    <row r="150" spans="1:8" ht="20" customHeight="1">
      <c r="A150" s="440"/>
      <c r="B150" s="440"/>
      <c r="C150" s="439" t="s">
        <v>305</v>
      </c>
      <c r="D150" s="147" t="s">
        <v>284</v>
      </c>
      <c r="E150" s="149">
        <v>-938.21</v>
      </c>
      <c r="F150" s="440"/>
      <c r="G150" s="150"/>
      <c r="H150" s="157"/>
    </row>
    <row r="151" spans="1:8" ht="20" customHeight="1">
      <c r="A151" s="440"/>
      <c r="B151" s="440"/>
      <c r="C151" s="440"/>
      <c r="D151" s="147" t="s">
        <v>286</v>
      </c>
      <c r="E151" s="149">
        <v>-470.4</v>
      </c>
      <c r="F151" s="440"/>
      <c r="G151" s="150"/>
      <c r="H151" s="157"/>
    </row>
    <row r="152" spans="1:8" ht="20" customHeight="1">
      <c r="A152" s="440"/>
      <c r="B152" s="440"/>
      <c r="C152" s="440"/>
      <c r="D152" s="147" t="s">
        <v>287</v>
      </c>
      <c r="E152" s="149">
        <v>-483.82</v>
      </c>
      <c r="F152" s="440"/>
      <c r="G152" s="150"/>
      <c r="H152" s="157"/>
    </row>
    <row r="153" spans="1:8" ht="20" customHeight="1">
      <c r="A153" s="440"/>
      <c r="B153" s="440"/>
      <c r="C153" s="440"/>
      <c r="D153" s="147" t="s">
        <v>288</v>
      </c>
      <c r="E153" s="149">
        <v>-496.03</v>
      </c>
      <c r="F153" s="440"/>
      <c r="G153" s="150"/>
      <c r="H153" s="157"/>
    </row>
    <row r="154" spans="1:8" ht="20" customHeight="1">
      <c r="A154" s="440"/>
      <c r="B154" s="440"/>
      <c r="C154" s="440"/>
      <c r="D154" s="147" t="s">
        <v>289</v>
      </c>
      <c r="E154" s="149">
        <v>-988.56</v>
      </c>
      <c r="F154" s="440"/>
      <c r="G154" s="150"/>
      <c r="H154" s="157"/>
    </row>
    <row r="155" spans="1:8" ht="20" customHeight="1">
      <c r="A155" s="440"/>
      <c r="B155" s="440"/>
      <c r="C155" s="440"/>
      <c r="D155" s="147" t="s">
        <v>290</v>
      </c>
      <c r="E155" s="149">
        <v>-5.55</v>
      </c>
      <c r="F155" s="440"/>
      <c r="G155" s="150"/>
      <c r="H155" s="157"/>
    </row>
    <row r="156" spans="1:8" ht="20" customHeight="1">
      <c r="A156" s="440"/>
      <c r="B156" s="440"/>
      <c r="C156" s="440"/>
      <c r="D156" s="147" t="s">
        <v>291</v>
      </c>
      <c r="E156" s="149">
        <v>-471.18</v>
      </c>
      <c r="F156" s="440"/>
      <c r="G156" s="150"/>
      <c r="H156" s="157"/>
    </row>
    <row r="157" spans="1:8" ht="20" customHeight="1">
      <c r="A157" s="440"/>
      <c r="B157" s="440"/>
      <c r="C157" s="440"/>
      <c r="D157" s="147" t="s">
        <v>292</v>
      </c>
      <c r="E157" s="149">
        <v>-8.67</v>
      </c>
      <c r="F157" s="440"/>
      <c r="G157" s="150"/>
      <c r="H157" s="157"/>
    </row>
    <row r="158" spans="1:8" ht="20" customHeight="1">
      <c r="A158" s="440"/>
      <c r="B158" s="440"/>
      <c r="C158" s="440"/>
      <c r="D158" s="147" t="s">
        <v>293</v>
      </c>
      <c r="E158" s="149">
        <v>-532.44000000000005</v>
      </c>
      <c r="F158" s="440"/>
      <c r="G158" s="150"/>
      <c r="H158" s="157"/>
    </row>
    <row r="159" spans="1:8" ht="20" customHeight="1">
      <c r="A159" s="440"/>
      <c r="B159" s="440"/>
      <c r="C159" s="440"/>
      <c r="D159" s="147" t="s">
        <v>294</v>
      </c>
      <c r="E159" s="149">
        <v>-450.73</v>
      </c>
      <c r="F159" s="440"/>
      <c r="G159" s="150"/>
      <c r="H159" s="157"/>
    </row>
    <row r="160" spans="1:8" ht="20" customHeight="1">
      <c r="A160" s="440"/>
      <c r="B160" s="440"/>
      <c r="C160" s="441"/>
      <c r="D160" s="147" t="s">
        <v>295</v>
      </c>
      <c r="E160" s="149">
        <v>-962.56</v>
      </c>
      <c r="F160" s="440"/>
      <c r="G160" s="150"/>
      <c r="H160" s="157"/>
    </row>
    <row r="161" spans="1:8" ht="20" customHeight="1">
      <c r="A161" s="440"/>
      <c r="B161" s="441"/>
      <c r="C161" s="431" t="s">
        <v>303</v>
      </c>
      <c r="D161" s="434"/>
      <c r="E161" s="149">
        <v>-5808.15</v>
      </c>
      <c r="F161" s="440"/>
      <c r="G161" s="150"/>
      <c r="H161" s="157"/>
    </row>
    <row r="162" spans="1:8" ht="20" customHeight="1">
      <c r="A162" s="441"/>
      <c r="B162" s="431" t="s">
        <v>303</v>
      </c>
      <c r="C162" s="433"/>
      <c r="D162" s="432"/>
      <c r="E162" s="152">
        <v>-5918.87</v>
      </c>
      <c r="F162" s="441"/>
      <c r="G162" s="150"/>
      <c r="H162" s="157"/>
    </row>
    <row r="163" spans="1:8" ht="20" customHeight="1">
      <c r="A163" s="431" t="s">
        <v>176</v>
      </c>
      <c r="B163" s="433"/>
      <c r="C163" s="433"/>
      <c r="D163" s="432"/>
      <c r="E163" s="152">
        <v>45533.24</v>
      </c>
      <c r="F163" s="431" t="s">
        <v>306</v>
      </c>
      <c r="G163" s="432"/>
      <c r="H163" s="158" t="s">
        <v>373</v>
      </c>
    </row>
    <row r="164" spans="1:8" ht="20" customHeight="1">
      <c r="A164" s="431" t="s">
        <v>307</v>
      </c>
      <c r="B164" s="433"/>
      <c r="C164" s="433"/>
      <c r="D164" s="433"/>
      <c r="E164" s="434"/>
      <c r="F164" s="435">
        <v>37899.49</v>
      </c>
      <c r="G164" s="436"/>
      <c r="H164" s="437"/>
    </row>
    <row r="165" spans="1:8" ht="20" customHeight="1">
      <c r="A165" s="148"/>
      <c r="B165" s="148"/>
      <c r="C165" s="148"/>
      <c r="D165" s="148"/>
      <c r="E165" s="161"/>
      <c r="F165" s="148"/>
      <c r="G165" s="148"/>
      <c r="H165" s="162"/>
    </row>
    <row r="166" spans="1:8" ht="20" customHeight="1">
      <c r="A166" s="425" t="s">
        <v>374</v>
      </c>
      <c r="B166" s="426"/>
      <c r="C166" s="426"/>
      <c r="D166" s="426"/>
      <c r="E166" s="426"/>
      <c r="F166" s="426"/>
      <c r="G166" s="426"/>
      <c r="H166" s="427"/>
    </row>
    <row r="167" spans="1:8" ht="20" customHeight="1">
      <c r="A167" s="428" t="s">
        <v>375</v>
      </c>
      <c r="B167" s="429"/>
      <c r="C167" s="429"/>
      <c r="D167" s="429"/>
      <c r="E167" s="429"/>
      <c r="F167" s="429"/>
      <c r="G167" s="429"/>
      <c r="H167" s="430"/>
    </row>
    <row r="168" spans="1:8" ht="20" customHeight="1">
      <c r="A168" s="439" t="s">
        <v>298</v>
      </c>
      <c r="B168" s="439" t="s">
        <v>299</v>
      </c>
      <c r="C168" s="431" t="s">
        <v>300</v>
      </c>
      <c r="D168" s="432"/>
      <c r="E168" s="149">
        <v>107254.2</v>
      </c>
      <c r="F168" s="439" t="s">
        <v>301</v>
      </c>
      <c r="G168" s="150" t="s">
        <v>235</v>
      </c>
      <c r="H168" s="159" t="s">
        <v>376</v>
      </c>
    </row>
    <row r="169" spans="1:8" ht="20" customHeight="1">
      <c r="A169" s="440"/>
      <c r="B169" s="440"/>
      <c r="C169" s="431" t="s">
        <v>302</v>
      </c>
      <c r="D169" s="432"/>
      <c r="E169" s="149">
        <v>150</v>
      </c>
      <c r="F169" s="440"/>
      <c r="G169" s="150" t="s">
        <v>212</v>
      </c>
      <c r="H169" s="159" t="s">
        <v>327</v>
      </c>
    </row>
    <row r="170" spans="1:8" ht="20" customHeight="1">
      <c r="A170" s="440"/>
      <c r="B170" s="440"/>
      <c r="C170" s="431"/>
      <c r="D170" s="432"/>
      <c r="E170" s="149"/>
      <c r="F170" s="440"/>
      <c r="G170" s="150" t="s">
        <v>227</v>
      </c>
      <c r="H170" s="159" t="s">
        <v>327</v>
      </c>
    </row>
    <row r="171" spans="1:8" ht="20" customHeight="1">
      <c r="A171" s="440"/>
      <c r="B171" s="440"/>
      <c r="C171" s="431"/>
      <c r="D171" s="432"/>
      <c r="E171" s="149"/>
      <c r="F171" s="440"/>
      <c r="G171" s="150" t="s">
        <v>189</v>
      </c>
      <c r="H171" s="159" t="s">
        <v>377</v>
      </c>
    </row>
    <row r="172" spans="1:8" ht="20" customHeight="1">
      <c r="A172" s="440"/>
      <c r="B172" s="441"/>
      <c r="C172" s="431"/>
      <c r="D172" s="432"/>
      <c r="E172" s="149"/>
      <c r="F172" s="440"/>
      <c r="G172" s="150" t="s">
        <v>195</v>
      </c>
      <c r="H172" s="159" t="s">
        <v>378</v>
      </c>
    </row>
    <row r="173" spans="1:8" ht="20" customHeight="1">
      <c r="A173" s="440"/>
      <c r="B173" s="431" t="s">
        <v>303</v>
      </c>
      <c r="C173" s="433"/>
      <c r="D173" s="432"/>
      <c r="E173" s="152">
        <v>107404.2</v>
      </c>
      <c r="F173" s="440"/>
      <c r="G173" s="150" t="s">
        <v>194</v>
      </c>
      <c r="H173" s="159" t="s">
        <v>379</v>
      </c>
    </row>
    <row r="174" spans="1:8" ht="20" customHeight="1">
      <c r="A174" s="440"/>
      <c r="B174" s="439" t="s">
        <v>304</v>
      </c>
      <c r="C174" s="439" t="s">
        <v>282</v>
      </c>
      <c r="D174" s="146" t="s">
        <v>281</v>
      </c>
      <c r="E174" s="153">
        <v>70.959999999999994</v>
      </c>
      <c r="F174" s="440"/>
      <c r="G174" s="150" t="s">
        <v>211</v>
      </c>
      <c r="H174" s="159" t="s">
        <v>380</v>
      </c>
    </row>
    <row r="175" spans="1:8" ht="20" customHeight="1">
      <c r="A175" s="440"/>
      <c r="B175" s="440"/>
      <c r="C175" s="441"/>
      <c r="D175" s="146" t="s">
        <v>283</v>
      </c>
      <c r="E175" s="153" t="s">
        <v>330</v>
      </c>
      <c r="F175" s="440"/>
      <c r="G175" s="150" t="s">
        <v>201</v>
      </c>
      <c r="H175" s="160" t="s">
        <v>381</v>
      </c>
    </row>
    <row r="176" spans="1:8" ht="20" customHeight="1">
      <c r="A176" s="440"/>
      <c r="B176" s="440"/>
      <c r="C176" s="431" t="s">
        <v>303</v>
      </c>
      <c r="D176" s="434"/>
      <c r="E176" s="152">
        <v>70.959999999999994</v>
      </c>
      <c r="F176" s="440"/>
      <c r="G176" s="150"/>
      <c r="H176" s="157"/>
    </row>
    <row r="177" spans="1:8" ht="20" customHeight="1">
      <c r="A177" s="440"/>
      <c r="B177" s="440"/>
      <c r="C177" s="439" t="s">
        <v>305</v>
      </c>
      <c r="D177" s="147" t="s">
        <v>284</v>
      </c>
      <c r="E177" s="149">
        <v>520.53</v>
      </c>
      <c r="F177" s="440"/>
      <c r="G177" s="150"/>
      <c r="H177" s="157"/>
    </row>
    <row r="178" spans="1:8" ht="20" customHeight="1">
      <c r="A178" s="440"/>
      <c r="B178" s="440"/>
      <c r="C178" s="440"/>
      <c r="D178" s="147" t="s">
        <v>286</v>
      </c>
      <c r="E178" s="149">
        <v>398.85</v>
      </c>
      <c r="F178" s="440"/>
      <c r="G178" s="150"/>
      <c r="H178" s="157"/>
    </row>
    <row r="179" spans="1:8" ht="20" customHeight="1">
      <c r="A179" s="440"/>
      <c r="B179" s="440"/>
      <c r="C179" s="440"/>
      <c r="D179" s="147" t="s">
        <v>287</v>
      </c>
      <c r="E179" s="149">
        <v>-45.18</v>
      </c>
      <c r="F179" s="440"/>
      <c r="G179" s="150"/>
      <c r="H179" s="157"/>
    </row>
    <row r="180" spans="1:8" ht="20" customHeight="1">
      <c r="A180" s="440"/>
      <c r="B180" s="440"/>
      <c r="C180" s="440"/>
      <c r="D180" s="147" t="s">
        <v>288</v>
      </c>
      <c r="E180" s="149">
        <v>136.56</v>
      </c>
      <c r="F180" s="440"/>
      <c r="G180" s="150"/>
      <c r="H180" s="157"/>
    </row>
    <row r="181" spans="1:8" ht="20" customHeight="1">
      <c r="A181" s="440"/>
      <c r="B181" s="440"/>
      <c r="C181" s="440"/>
      <c r="D181" s="147" t="s">
        <v>289</v>
      </c>
      <c r="E181" s="149">
        <v>-2416.5300000000002</v>
      </c>
      <c r="F181" s="440"/>
      <c r="G181" s="150"/>
      <c r="H181" s="157"/>
    </row>
    <row r="182" spans="1:8" ht="20" customHeight="1">
      <c r="A182" s="440"/>
      <c r="B182" s="440"/>
      <c r="C182" s="440"/>
      <c r="D182" s="147" t="s">
        <v>290</v>
      </c>
      <c r="E182" s="149">
        <v>7.96</v>
      </c>
      <c r="F182" s="440"/>
      <c r="G182" s="150"/>
      <c r="H182" s="157"/>
    </row>
    <row r="183" spans="1:8" ht="20" customHeight="1">
      <c r="A183" s="440"/>
      <c r="B183" s="440"/>
      <c r="C183" s="440"/>
      <c r="D183" s="147" t="s">
        <v>291</v>
      </c>
      <c r="E183" s="149">
        <v>-2480.62</v>
      </c>
      <c r="F183" s="440"/>
      <c r="G183" s="150"/>
      <c r="H183" s="157"/>
    </row>
    <row r="184" spans="1:8" ht="20" customHeight="1">
      <c r="A184" s="440"/>
      <c r="B184" s="440"/>
      <c r="C184" s="440"/>
      <c r="D184" s="147" t="s">
        <v>292</v>
      </c>
      <c r="E184" s="149">
        <v>19.75</v>
      </c>
      <c r="F184" s="440"/>
      <c r="G184" s="150"/>
      <c r="H184" s="157"/>
    </row>
    <row r="185" spans="1:8" ht="20" customHeight="1">
      <c r="A185" s="440"/>
      <c r="B185" s="440"/>
      <c r="C185" s="440"/>
      <c r="D185" s="147" t="s">
        <v>293</v>
      </c>
      <c r="E185" s="149">
        <v>800.57</v>
      </c>
      <c r="F185" s="440"/>
      <c r="G185" s="150"/>
      <c r="H185" s="157"/>
    </row>
    <row r="186" spans="1:8" ht="20" customHeight="1">
      <c r="A186" s="440"/>
      <c r="B186" s="440"/>
      <c r="C186" s="440"/>
      <c r="D186" s="147" t="s">
        <v>294</v>
      </c>
      <c r="E186" s="149">
        <v>2759.37</v>
      </c>
      <c r="F186" s="440"/>
      <c r="G186" s="150"/>
      <c r="H186" s="157"/>
    </row>
    <row r="187" spans="1:8" ht="20" customHeight="1">
      <c r="A187" s="440"/>
      <c r="B187" s="440"/>
      <c r="C187" s="441"/>
      <c r="D187" s="147" t="s">
        <v>295</v>
      </c>
      <c r="E187" s="149">
        <v>342.99</v>
      </c>
      <c r="F187" s="440"/>
      <c r="G187" s="150"/>
      <c r="H187" s="157"/>
    </row>
    <row r="188" spans="1:8" ht="20" customHeight="1">
      <c r="A188" s="440"/>
      <c r="B188" s="441"/>
      <c r="C188" s="431" t="s">
        <v>303</v>
      </c>
      <c r="D188" s="434"/>
      <c r="E188" s="149">
        <v>44.25</v>
      </c>
      <c r="F188" s="440"/>
      <c r="G188" s="150"/>
      <c r="H188" s="157"/>
    </row>
    <row r="189" spans="1:8" ht="20" customHeight="1">
      <c r="A189" s="441"/>
      <c r="B189" s="431" t="s">
        <v>303</v>
      </c>
      <c r="C189" s="433"/>
      <c r="D189" s="432"/>
      <c r="E189" s="152">
        <v>115.21</v>
      </c>
      <c r="F189" s="441"/>
      <c r="G189" s="150"/>
      <c r="H189" s="157"/>
    </row>
    <row r="190" spans="1:8" ht="20" customHeight="1">
      <c r="A190" s="431" t="s">
        <v>176</v>
      </c>
      <c r="B190" s="433"/>
      <c r="C190" s="433"/>
      <c r="D190" s="432"/>
      <c r="E190" s="152">
        <v>107519.41</v>
      </c>
      <c r="F190" s="431" t="s">
        <v>306</v>
      </c>
      <c r="G190" s="432"/>
      <c r="H190" s="158" t="s">
        <v>382</v>
      </c>
    </row>
    <row r="191" spans="1:8" ht="20" customHeight="1">
      <c r="A191" s="431" t="s">
        <v>307</v>
      </c>
      <c r="B191" s="433"/>
      <c r="C191" s="433"/>
      <c r="D191" s="433"/>
      <c r="E191" s="434"/>
      <c r="F191" s="442">
        <v>96761.79</v>
      </c>
      <c r="G191" s="443"/>
      <c r="H191" s="444"/>
    </row>
    <row r="192" spans="1:8" ht="20" customHeight="1">
      <c r="A192" s="148"/>
      <c r="B192" s="148"/>
      <c r="C192" s="148"/>
      <c r="D192" s="148"/>
      <c r="E192" s="161"/>
      <c r="F192" s="148"/>
      <c r="G192" s="148"/>
      <c r="H192" s="162"/>
    </row>
    <row r="193" spans="1:8" ht="20" customHeight="1">
      <c r="A193" s="425" t="s">
        <v>383</v>
      </c>
      <c r="B193" s="426"/>
      <c r="C193" s="426"/>
      <c r="D193" s="426"/>
      <c r="E193" s="426"/>
      <c r="F193" s="426"/>
      <c r="G193" s="426"/>
      <c r="H193" s="427"/>
    </row>
    <row r="194" spans="1:8" ht="20" customHeight="1">
      <c r="A194" s="428" t="s">
        <v>384</v>
      </c>
      <c r="B194" s="429"/>
      <c r="C194" s="429"/>
      <c r="D194" s="429"/>
      <c r="E194" s="429"/>
      <c r="F194" s="429"/>
      <c r="G194" s="429"/>
      <c r="H194" s="430"/>
    </row>
    <row r="195" spans="1:8" ht="20" customHeight="1">
      <c r="A195" s="439" t="s">
        <v>298</v>
      </c>
      <c r="B195" s="439" t="s">
        <v>299</v>
      </c>
      <c r="C195" s="431" t="s">
        <v>300</v>
      </c>
      <c r="D195" s="432"/>
      <c r="E195" s="149">
        <v>31971.55</v>
      </c>
      <c r="F195" s="439" t="s">
        <v>301</v>
      </c>
      <c r="G195" s="150" t="s">
        <v>235</v>
      </c>
      <c r="H195" s="159" t="s">
        <v>385</v>
      </c>
    </row>
    <row r="196" spans="1:8" ht="20" customHeight="1">
      <c r="A196" s="440"/>
      <c r="B196" s="440"/>
      <c r="C196" s="431" t="s">
        <v>302</v>
      </c>
      <c r="D196" s="432"/>
      <c r="E196" s="149">
        <v>832.5</v>
      </c>
      <c r="F196" s="440"/>
      <c r="G196" s="150" t="s">
        <v>212</v>
      </c>
      <c r="H196" s="159" t="s">
        <v>386</v>
      </c>
    </row>
    <row r="197" spans="1:8" ht="20" customHeight="1">
      <c r="A197" s="440"/>
      <c r="B197" s="440"/>
      <c r="C197" s="431" t="s">
        <v>387</v>
      </c>
      <c r="D197" s="432"/>
      <c r="E197" s="149">
        <v>2000</v>
      </c>
      <c r="F197" s="440"/>
      <c r="G197" s="150" t="s">
        <v>227</v>
      </c>
      <c r="H197" s="159"/>
    </row>
    <row r="198" spans="1:8" ht="20" customHeight="1">
      <c r="A198" s="440"/>
      <c r="B198" s="440"/>
      <c r="C198" s="431" t="s">
        <v>388</v>
      </c>
      <c r="D198" s="432"/>
      <c r="E198" s="149">
        <v>3500</v>
      </c>
      <c r="F198" s="440"/>
      <c r="G198" s="150" t="s">
        <v>189</v>
      </c>
      <c r="H198" s="159" t="s">
        <v>389</v>
      </c>
    </row>
    <row r="199" spans="1:8" ht="20" customHeight="1">
      <c r="A199" s="440"/>
      <c r="B199" s="441"/>
      <c r="C199" s="431" t="s">
        <v>390</v>
      </c>
      <c r="D199" s="432"/>
      <c r="E199" s="149">
        <v>1300</v>
      </c>
      <c r="F199" s="440"/>
      <c r="G199" s="150" t="s">
        <v>52</v>
      </c>
      <c r="H199" s="159"/>
    </row>
    <row r="200" spans="1:8" ht="20" customHeight="1">
      <c r="A200" s="440"/>
      <c r="B200" s="431" t="s">
        <v>303</v>
      </c>
      <c r="C200" s="433"/>
      <c r="D200" s="432"/>
      <c r="E200" s="152">
        <v>39604.050000000003</v>
      </c>
      <c r="F200" s="440"/>
      <c r="G200" s="150" t="s">
        <v>194</v>
      </c>
      <c r="H200" s="159" t="s">
        <v>391</v>
      </c>
    </row>
    <row r="201" spans="1:8" ht="20" customHeight="1">
      <c r="A201" s="440"/>
      <c r="B201" s="439" t="s">
        <v>304</v>
      </c>
      <c r="C201" s="439" t="s">
        <v>282</v>
      </c>
      <c r="D201" s="146" t="s">
        <v>281</v>
      </c>
      <c r="E201" s="153">
        <v>202.19</v>
      </c>
      <c r="F201" s="440"/>
      <c r="G201" s="150" t="s">
        <v>211</v>
      </c>
      <c r="H201" s="159" t="s">
        <v>392</v>
      </c>
    </row>
    <row r="202" spans="1:8" ht="20" customHeight="1">
      <c r="A202" s="440"/>
      <c r="B202" s="440"/>
      <c r="C202" s="441"/>
      <c r="D202" s="146" t="s">
        <v>283</v>
      </c>
      <c r="E202" s="153" t="s">
        <v>330</v>
      </c>
      <c r="F202" s="440"/>
      <c r="G202" s="150" t="s">
        <v>201</v>
      </c>
      <c r="H202" s="160" t="s">
        <v>393</v>
      </c>
    </row>
    <row r="203" spans="1:8" ht="20" customHeight="1">
      <c r="A203" s="440"/>
      <c r="B203" s="440"/>
      <c r="C203" s="431" t="s">
        <v>303</v>
      </c>
      <c r="D203" s="434"/>
      <c r="E203" s="152">
        <v>202.19</v>
      </c>
      <c r="F203" s="440"/>
      <c r="G203" s="150"/>
      <c r="H203" s="157"/>
    </row>
    <row r="204" spans="1:8" ht="20" customHeight="1">
      <c r="A204" s="440"/>
      <c r="B204" s="440"/>
      <c r="C204" s="439" t="s">
        <v>305</v>
      </c>
      <c r="D204" s="147" t="s">
        <v>284</v>
      </c>
      <c r="E204" s="149">
        <v>354.99</v>
      </c>
      <c r="F204" s="440"/>
      <c r="G204" s="150"/>
      <c r="H204" s="157"/>
    </row>
    <row r="205" spans="1:8" ht="20" customHeight="1">
      <c r="A205" s="440"/>
      <c r="B205" s="440"/>
      <c r="C205" s="440"/>
      <c r="D205" s="147" t="s">
        <v>286</v>
      </c>
      <c r="E205" s="149">
        <v>-881.37</v>
      </c>
      <c r="F205" s="440"/>
      <c r="G205" s="150"/>
      <c r="H205" s="157"/>
    </row>
    <row r="206" spans="1:8" ht="20" customHeight="1">
      <c r="A206" s="440"/>
      <c r="B206" s="440"/>
      <c r="C206" s="440"/>
      <c r="D206" s="147" t="s">
        <v>287</v>
      </c>
      <c r="E206" s="149">
        <v>228.25</v>
      </c>
      <c r="F206" s="440"/>
      <c r="G206" s="150"/>
      <c r="H206" s="157"/>
    </row>
    <row r="207" spans="1:8" ht="20" customHeight="1">
      <c r="A207" s="440"/>
      <c r="B207" s="440"/>
      <c r="C207" s="440"/>
      <c r="D207" s="147" t="s">
        <v>288</v>
      </c>
      <c r="E207" s="149">
        <v>-1121.76</v>
      </c>
      <c r="F207" s="440"/>
      <c r="G207" s="150"/>
      <c r="H207" s="157"/>
    </row>
    <row r="208" spans="1:8" ht="20" customHeight="1">
      <c r="A208" s="440"/>
      <c r="B208" s="440"/>
      <c r="C208" s="440"/>
      <c r="D208" s="147" t="s">
        <v>289</v>
      </c>
      <c r="E208" s="149">
        <v>-2499.65</v>
      </c>
      <c r="F208" s="440"/>
      <c r="G208" s="150"/>
      <c r="H208" s="157"/>
    </row>
    <row r="209" spans="1:8" ht="20" customHeight="1">
      <c r="A209" s="440"/>
      <c r="B209" s="440"/>
      <c r="C209" s="440"/>
      <c r="D209" s="147" t="s">
        <v>290</v>
      </c>
      <c r="E209" s="149">
        <v>7.58</v>
      </c>
      <c r="F209" s="440"/>
      <c r="G209" s="150"/>
      <c r="H209" s="157"/>
    </row>
    <row r="210" spans="1:8" ht="20" customHeight="1">
      <c r="A210" s="440"/>
      <c r="B210" s="440"/>
      <c r="C210" s="440"/>
      <c r="D210" s="147" t="s">
        <v>291</v>
      </c>
      <c r="E210" s="149">
        <v>-2029.18</v>
      </c>
      <c r="F210" s="440"/>
      <c r="G210" s="150"/>
      <c r="H210" s="157"/>
    </row>
    <row r="211" spans="1:8" ht="20" customHeight="1">
      <c r="A211" s="440"/>
      <c r="B211" s="440"/>
      <c r="C211" s="440"/>
      <c r="D211" s="147" t="s">
        <v>292</v>
      </c>
      <c r="E211" s="149">
        <v>-51.6</v>
      </c>
      <c r="F211" s="440"/>
      <c r="G211" s="150"/>
      <c r="H211" s="157"/>
    </row>
    <row r="212" spans="1:8" ht="20" customHeight="1">
      <c r="A212" s="440"/>
      <c r="B212" s="440"/>
      <c r="C212" s="440"/>
      <c r="D212" s="147" t="s">
        <v>293</v>
      </c>
      <c r="E212" s="149">
        <v>9.57</v>
      </c>
      <c r="F212" s="440"/>
      <c r="G212" s="150"/>
      <c r="H212" s="157"/>
    </row>
    <row r="213" spans="1:8" ht="20" customHeight="1">
      <c r="A213" s="440"/>
      <c r="B213" s="440"/>
      <c r="C213" s="440"/>
      <c r="D213" s="147" t="s">
        <v>294</v>
      </c>
      <c r="E213" s="149">
        <v>-122.23</v>
      </c>
      <c r="F213" s="440"/>
      <c r="G213" s="150"/>
      <c r="H213" s="157"/>
    </row>
    <row r="214" spans="1:8" ht="20" customHeight="1">
      <c r="A214" s="440"/>
      <c r="B214" s="440"/>
      <c r="C214" s="441"/>
      <c r="D214" s="147" t="s">
        <v>295</v>
      </c>
      <c r="E214" s="149">
        <v>-373.05</v>
      </c>
      <c r="F214" s="440"/>
      <c r="G214" s="150"/>
      <c r="H214" s="157"/>
    </row>
    <row r="215" spans="1:8" ht="20" customHeight="1">
      <c r="A215" s="440"/>
      <c r="B215" s="441"/>
      <c r="C215" s="431" t="s">
        <v>303</v>
      </c>
      <c r="D215" s="434"/>
      <c r="E215" s="149">
        <v>-6478.45</v>
      </c>
      <c r="F215" s="440"/>
      <c r="G215" s="150"/>
      <c r="H215" s="157"/>
    </row>
    <row r="216" spans="1:8" ht="20" customHeight="1">
      <c r="A216" s="441"/>
      <c r="B216" s="431" t="s">
        <v>303</v>
      </c>
      <c r="C216" s="433"/>
      <c r="D216" s="432"/>
      <c r="E216" s="152">
        <v>-6276.26</v>
      </c>
      <c r="F216" s="441"/>
      <c r="G216" s="150"/>
      <c r="H216" s="157"/>
    </row>
    <row r="217" spans="1:8" ht="20" customHeight="1">
      <c r="A217" s="431" t="s">
        <v>176</v>
      </c>
      <c r="B217" s="433"/>
      <c r="C217" s="433"/>
      <c r="D217" s="432"/>
      <c r="E217" s="152">
        <v>33327.79</v>
      </c>
      <c r="F217" s="431" t="s">
        <v>306</v>
      </c>
      <c r="G217" s="432"/>
      <c r="H217" s="158" t="s">
        <v>394</v>
      </c>
    </row>
    <row r="218" spans="1:8" ht="20" customHeight="1">
      <c r="A218" s="431" t="s">
        <v>307</v>
      </c>
      <c r="B218" s="433"/>
      <c r="C218" s="433"/>
      <c r="D218" s="433"/>
      <c r="E218" s="434"/>
      <c r="F218" s="442">
        <v>23263.42</v>
      </c>
      <c r="G218" s="443"/>
      <c r="H218" s="444"/>
    </row>
    <row r="219" spans="1:8" ht="20" customHeight="1">
      <c r="A219" s="173"/>
      <c r="B219" s="174"/>
      <c r="C219" s="174"/>
      <c r="D219" s="174"/>
      <c r="E219" s="174"/>
      <c r="F219" s="175"/>
      <c r="G219" s="174"/>
      <c r="H219" s="176"/>
    </row>
    <row r="220" spans="1:8" ht="20" customHeight="1">
      <c r="A220" s="425" t="s">
        <v>395</v>
      </c>
      <c r="B220" s="426"/>
      <c r="C220" s="426"/>
      <c r="D220" s="426"/>
      <c r="E220" s="426"/>
      <c r="F220" s="426"/>
      <c r="G220" s="426"/>
      <c r="H220" s="427"/>
    </row>
    <row r="221" spans="1:8" ht="20" customHeight="1">
      <c r="A221" s="428" t="s">
        <v>396</v>
      </c>
      <c r="B221" s="429"/>
      <c r="C221" s="429"/>
      <c r="D221" s="429"/>
      <c r="E221" s="429"/>
      <c r="F221" s="429"/>
      <c r="G221" s="429"/>
      <c r="H221" s="430"/>
    </row>
    <row r="222" spans="1:8" ht="20" customHeight="1">
      <c r="A222" s="439" t="s">
        <v>298</v>
      </c>
      <c r="B222" s="439" t="s">
        <v>299</v>
      </c>
      <c r="C222" s="431" t="s">
        <v>300</v>
      </c>
      <c r="D222" s="432"/>
      <c r="E222" s="149">
        <v>33778.25</v>
      </c>
      <c r="F222" s="439" t="s">
        <v>301</v>
      </c>
      <c r="G222" s="150" t="s">
        <v>235</v>
      </c>
      <c r="H222" s="157" t="s">
        <v>397</v>
      </c>
    </row>
    <row r="223" spans="1:8" ht="20" customHeight="1">
      <c r="A223" s="440"/>
      <c r="B223" s="440"/>
      <c r="C223" s="431" t="s">
        <v>302</v>
      </c>
      <c r="D223" s="432"/>
      <c r="E223" s="149">
        <v>832.5</v>
      </c>
      <c r="F223" s="440"/>
      <c r="G223" s="150" t="s">
        <v>212</v>
      </c>
      <c r="H223" s="157" t="s">
        <v>398</v>
      </c>
    </row>
    <row r="224" spans="1:8" ht="20" customHeight="1">
      <c r="A224" s="440"/>
      <c r="B224" s="440"/>
      <c r="C224" s="431" t="s">
        <v>399</v>
      </c>
      <c r="D224" s="434"/>
      <c r="E224" s="149">
        <v>1464.81</v>
      </c>
      <c r="F224" s="440"/>
      <c r="G224" s="150" t="s">
        <v>227</v>
      </c>
      <c r="H224" s="157" t="s">
        <v>327</v>
      </c>
    </row>
    <row r="225" spans="1:8" ht="20" customHeight="1">
      <c r="A225" s="440"/>
      <c r="B225" s="440"/>
      <c r="C225" s="431" t="s">
        <v>387</v>
      </c>
      <c r="D225" s="432"/>
      <c r="E225" s="149">
        <v>4000</v>
      </c>
      <c r="F225" s="440"/>
      <c r="G225" s="150" t="s">
        <v>189</v>
      </c>
      <c r="H225" s="177" t="s">
        <v>400</v>
      </c>
    </row>
    <row r="226" spans="1:8" ht="20" customHeight="1">
      <c r="A226" s="440"/>
      <c r="B226" s="441"/>
      <c r="C226" s="431" t="s">
        <v>401</v>
      </c>
      <c r="D226" s="432"/>
      <c r="E226" s="178">
        <v>100</v>
      </c>
      <c r="F226" s="440"/>
      <c r="G226" s="150" t="s">
        <v>52</v>
      </c>
      <c r="H226" s="157" t="s">
        <v>402</v>
      </c>
    </row>
    <row r="227" spans="1:8" ht="20" customHeight="1">
      <c r="A227" s="440"/>
      <c r="B227" s="431" t="s">
        <v>303</v>
      </c>
      <c r="C227" s="433"/>
      <c r="D227" s="432"/>
      <c r="E227" s="152">
        <v>40175.56</v>
      </c>
      <c r="F227" s="440"/>
      <c r="G227" s="150" t="s">
        <v>194</v>
      </c>
      <c r="H227" s="177" t="s">
        <v>403</v>
      </c>
    </row>
    <row r="228" spans="1:8" ht="20" customHeight="1">
      <c r="A228" s="440"/>
      <c r="B228" s="439" t="s">
        <v>304</v>
      </c>
      <c r="C228" s="439" t="s">
        <v>282</v>
      </c>
      <c r="D228" s="146" t="s">
        <v>281</v>
      </c>
      <c r="E228" s="153">
        <v>155.51</v>
      </c>
      <c r="F228" s="440"/>
      <c r="G228" s="150" t="s">
        <v>211</v>
      </c>
      <c r="H228" s="157" t="s">
        <v>404</v>
      </c>
    </row>
    <row r="229" spans="1:8" ht="20" customHeight="1">
      <c r="A229" s="440"/>
      <c r="B229" s="440"/>
      <c r="C229" s="441"/>
      <c r="D229" s="146" t="s">
        <v>283</v>
      </c>
      <c r="E229" s="153" t="s">
        <v>330</v>
      </c>
      <c r="F229" s="440"/>
      <c r="G229" s="150" t="s">
        <v>201</v>
      </c>
      <c r="H229" s="177" t="s">
        <v>405</v>
      </c>
    </row>
    <row r="230" spans="1:8" ht="20" customHeight="1">
      <c r="A230" s="440"/>
      <c r="B230" s="440"/>
      <c r="C230" s="431" t="s">
        <v>303</v>
      </c>
      <c r="D230" s="434"/>
      <c r="E230" s="152">
        <v>155.51</v>
      </c>
      <c r="F230" s="440"/>
      <c r="G230" s="150"/>
      <c r="H230" s="157"/>
    </row>
    <row r="231" spans="1:8" ht="20" customHeight="1">
      <c r="A231" s="440"/>
      <c r="B231" s="440"/>
      <c r="C231" s="439" t="s">
        <v>305</v>
      </c>
      <c r="D231" s="147" t="s">
        <v>284</v>
      </c>
      <c r="E231" s="149">
        <v>347.13</v>
      </c>
      <c r="F231" s="440"/>
      <c r="G231" s="150"/>
      <c r="H231" s="157"/>
    </row>
    <row r="232" spans="1:8" ht="20" customHeight="1">
      <c r="A232" s="440"/>
      <c r="B232" s="440"/>
      <c r="C232" s="440"/>
      <c r="D232" s="147" t="s">
        <v>286</v>
      </c>
      <c r="E232" s="149">
        <v>397.92</v>
      </c>
      <c r="F232" s="440"/>
      <c r="G232" s="150"/>
      <c r="H232" s="157"/>
    </row>
    <row r="233" spans="1:8" ht="20" customHeight="1">
      <c r="A233" s="440"/>
      <c r="B233" s="440"/>
      <c r="C233" s="440"/>
      <c r="D233" s="147" t="s">
        <v>287</v>
      </c>
      <c r="E233" s="149">
        <v>-869.37</v>
      </c>
      <c r="F233" s="440"/>
      <c r="G233" s="150"/>
      <c r="H233" s="157"/>
    </row>
    <row r="234" spans="1:8" ht="20" customHeight="1">
      <c r="A234" s="440"/>
      <c r="B234" s="440"/>
      <c r="C234" s="440"/>
      <c r="D234" s="147" t="s">
        <v>288</v>
      </c>
      <c r="E234" s="149">
        <v>383.21</v>
      </c>
      <c r="F234" s="440"/>
      <c r="G234" s="150"/>
      <c r="H234" s="157"/>
    </row>
    <row r="235" spans="1:8" ht="20" customHeight="1">
      <c r="A235" s="440"/>
      <c r="B235" s="440"/>
      <c r="C235" s="440"/>
      <c r="D235" s="147" t="s">
        <v>289</v>
      </c>
      <c r="E235" s="149">
        <v>2204.98</v>
      </c>
      <c r="F235" s="440"/>
      <c r="G235" s="150"/>
      <c r="H235" s="157"/>
    </row>
    <row r="236" spans="1:8" ht="20" customHeight="1">
      <c r="A236" s="440"/>
      <c r="B236" s="440"/>
      <c r="C236" s="440"/>
      <c r="D236" s="147" t="s">
        <v>290</v>
      </c>
      <c r="E236" s="149">
        <v>8.1199999999999992</v>
      </c>
      <c r="F236" s="440"/>
      <c r="G236" s="150"/>
      <c r="H236" s="157"/>
    </row>
    <row r="237" spans="1:8" ht="20" customHeight="1">
      <c r="A237" s="440"/>
      <c r="B237" s="440"/>
      <c r="C237" s="440"/>
      <c r="D237" s="147" t="s">
        <v>291</v>
      </c>
      <c r="E237" s="149">
        <v>-1003.8</v>
      </c>
      <c r="F237" s="440"/>
      <c r="G237" s="150"/>
      <c r="H237" s="157"/>
    </row>
    <row r="238" spans="1:8" ht="20" customHeight="1">
      <c r="A238" s="440"/>
      <c r="B238" s="440"/>
      <c r="C238" s="440"/>
      <c r="D238" s="147" t="s">
        <v>292</v>
      </c>
      <c r="E238" s="149">
        <v>-12.73</v>
      </c>
      <c r="F238" s="440"/>
      <c r="G238" s="150"/>
      <c r="H238" s="157"/>
    </row>
    <row r="239" spans="1:8" ht="20" customHeight="1">
      <c r="A239" s="440"/>
      <c r="B239" s="440"/>
      <c r="C239" s="440"/>
      <c r="D239" s="147" t="s">
        <v>293</v>
      </c>
      <c r="E239" s="149">
        <v>10.69</v>
      </c>
      <c r="F239" s="440"/>
      <c r="G239" s="150"/>
      <c r="H239" s="157"/>
    </row>
    <row r="240" spans="1:8" ht="20" customHeight="1">
      <c r="A240" s="440"/>
      <c r="B240" s="440"/>
      <c r="C240" s="440"/>
      <c r="D240" s="147" t="s">
        <v>294</v>
      </c>
      <c r="E240" s="149">
        <v>692.34</v>
      </c>
      <c r="F240" s="440"/>
      <c r="G240" s="150"/>
      <c r="H240" s="157"/>
    </row>
    <row r="241" spans="1:8" ht="20" customHeight="1">
      <c r="A241" s="440"/>
      <c r="B241" s="440"/>
      <c r="C241" s="441"/>
      <c r="D241" s="147" t="s">
        <v>295</v>
      </c>
      <c r="E241" s="149">
        <v>819.52</v>
      </c>
      <c r="F241" s="440"/>
      <c r="G241" s="150"/>
      <c r="H241" s="157"/>
    </row>
    <row r="242" spans="1:8" ht="20" customHeight="1">
      <c r="A242" s="440"/>
      <c r="B242" s="441"/>
      <c r="C242" s="431" t="s">
        <v>303</v>
      </c>
      <c r="D242" s="434"/>
      <c r="E242" s="152">
        <v>2978.01</v>
      </c>
      <c r="F242" s="440"/>
      <c r="G242" s="150"/>
      <c r="H242" s="157"/>
    </row>
    <row r="243" spans="1:8" ht="20" customHeight="1">
      <c r="A243" s="441"/>
      <c r="B243" s="431" t="s">
        <v>303</v>
      </c>
      <c r="C243" s="433"/>
      <c r="D243" s="432"/>
      <c r="E243" s="152">
        <v>3133.52</v>
      </c>
      <c r="F243" s="441"/>
      <c r="G243" s="150"/>
      <c r="H243" s="157"/>
    </row>
    <row r="244" spans="1:8" ht="20" customHeight="1">
      <c r="A244" s="431" t="s">
        <v>176</v>
      </c>
      <c r="B244" s="433"/>
      <c r="C244" s="433"/>
      <c r="D244" s="432"/>
      <c r="E244" s="152">
        <v>43309.08</v>
      </c>
      <c r="F244" s="431" t="s">
        <v>306</v>
      </c>
      <c r="G244" s="432"/>
      <c r="H244" s="158" t="s">
        <v>406</v>
      </c>
    </row>
    <row r="245" spans="1:8" ht="20" customHeight="1">
      <c r="A245" s="431" t="s">
        <v>307</v>
      </c>
      <c r="B245" s="433"/>
      <c r="C245" s="433"/>
      <c r="D245" s="433"/>
      <c r="E245" s="434"/>
      <c r="F245" s="442">
        <v>40617.14</v>
      </c>
      <c r="G245" s="443"/>
      <c r="H245" s="444"/>
    </row>
    <row r="246" spans="1:8" ht="20" customHeight="1">
      <c r="A246" s="148"/>
      <c r="B246" s="148"/>
      <c r="C246" s="148"/>
      <c r="D246" s="148"/>
      <c r="E246" s="161"/>
      <c r="F246" s="148"/>
      <c r="G246" s="148"/>
      <c r="H246" s="162"/>
    </row>
    <row r="247" spans="1:8" ht="20" customHeight="1">
      <c r="A247" s="425" t="s">
        <v>407</v>
      </c>
      <c r="B247" s="426"/>
      <c r="C247" s="426"/>
      <c r="D247" s="426"/>
      <c r="E247" s="426"/>
      <c r="F247" s="426"/>
      <c r="G247" s="426"/>
      <c r="H247" s="427"/>
    </row>
    <row r="248" spans="1:8" ht="20" customHeight="1">
      <c r="A248" s="428" t="s">
        <v>408</v>
      </c>
      <c r="B248" s="429"/>
      <c r="C248" s="429"/>
      <c r="D248" s="429"/>
      <c r="E248" s="429"/>
      <c r="F248" s="429"/>
      <c r="G248" s="429"/>
      <c r="H248" s="430"/>
    </row>
    <row r="249" spans="1:8" ht="20" customHeight="1">
      <c r="A249" s="439" t="s">
        <v>298</v>
      </c>
      <c r="B249" s="439" t="s">
        <v>299</v>
      </c>
      <c r="C249" s="431" t="s">
        <v>300</v>
      </c>
      <c r="D249" s="432"/>
      <c r="E249" s="149">
        <v>35270.03</v>
      </c>
      <c r="F249" s="439" t="s">
        <v>301</v>
      </c>
      <c r="G249" s="150" t="s">
        <v>188</v>
      </c>
      <c r="H249" s="157" t="s">
        <v>409</v>
      </c>
    </row>
    <row r="250" spans="1:8" ht="20" customHeight="1">
      <c r="A250" s="440"/>
      <c r="B250" s="440"/>
      <c r="C250" s="431" t="s">
        <v>302</v>
      </c>
      <c r="D250" s="432"/>
      <c r="E250" s="149">
        <v>832.5</v>
      </c>
      <c r="F250" s="440"/>
      <c r="G250" s="150" t="s">
        <v>194</v>
      </c>
      <c r="H250" s="157" t="s">
        <v>410</v>
      </c>
    </row>
    <row r="251" spans="1:8" ht="20" customHeight="1">
      <c r="A251" s="440"/>
      <c r="B251" s="440"/>
      <c r="C251" s="431" t="s">
        <v>387</v>
      </c>
      <c r="D251" s="434"/>
      <c r="E251" s="149">
        <v>1000</v>
      </c>
      <c r="F251" s="440"/>
      <c r="G251" s="150" t="s">
        <v>52</v>
      </c>
      <c r="H251" s="157" t="s">
        <v>411</v>
      </c>
    </row>
    <row r="252" spans="1:8" ht="20" customHeight="1">
      <c r="A252" s="440"/>
      <c r="B252" s="440"/>
      <c r="C252" s="431" t="s">
        <v>412</v>
      </c>
      <c r="D252" s="432"/>
      <c r="E252" s="149">
        <v>288</v>
      </c>
      <c r="F252" s="440"/>
      <c r="G252" s="150" t="s">
        <v>212</v>
      </c>
      <c r="H252" s="177" t="s">
        <v>413</v>
      </c>
    </row>
    <row r="253" spans="1:8" ht="20" customHeight="1">
      <c r="A253" s="440"/>
      <c r="B253" s="441"/>
      <c r="C253" s="431" t="s">
        <v>387</v>
      </c>
      <c r="D253" s="432"/>
      <c r="E253" s="178">
        <v>800</v>
      </c>
      <c r="F253" s="440"/>
      <c r="G253" s="150" t="s">
        <v>201</v>
      </c>
      <c r="H253" s="157" t="s">
        <v>414</v>
      </c>
    </row>
    <row r="254" spans="1:8" ht="20" customHeight="1">
      <c r="A254" s="440"/>
      <c r="B254" s="431" t="s">
        <v>303</v>
      </c>
      <c r="C254" s="433"/>
      <c r="D254" s="432"/>
      <c r="E254" s="152">
        <v>38190.53</v>
      </c>
      <c r="F254" s="440"/>
      <c r="G254" s="150" t="s">
        <v>235</v>
      </c>
      <c r="H254" s="177" t="s">
        <v>415</v>
      </c>
    </row>
    <row r="255" spans="1:8" ht="20" customHeight="1">
      <c r="A255" s="440"/>
      <c r="B255" s="439" t="s">
        <v>304</v>
      </c>
      <c r="C255" s="439" t="s">
        <v>282</v>
      </c>
      <c r="D255" s="146" t="s">
        <v>281</v>
      </c>
      <c r="E255" s="153">
        <v>107.86</v>
      </c>
      <c r="F255" s="440"/>
      <c r="G255" s="150" t="s">
        <v>227</v>
      </c>
      <c r="H255" s="157" t="s">
        <v>416</v>
      </c>
    </row>
    <row r="256" spans="1:8" ht="20" customHeight="1">
      <c r="A256" s="440"/>
      <c r="B256" s="440"/>
      <c r="C256" s="441"/>
      <c r="D256" s="146" t="s">
        <v>283</v>
      </c>
      <c r="E256" s="153" t="s">
        <v>330</v>
      </c>
      <c r="F256" s="440"/>
      <c r="G256" s="150" t="s">
        <v>417</v>
      </c>
      <c r="H256" s="177" t="s">
        <v>418</v>
      </c>
    </row>
    <row r="257" spans="1:8" ht="20" customHeight="1">
      <c r="A257" s="440"/>
      <c r="B257" s="440"/>
      <c r="C257" s="431" t="s">
        <v>303</v>
      </c>
      <c r="D257" s="434"/>
      <c r="E257" s="152">
        <v>107.86</v>
      </c>
      <c r="F257" s="440"/>
      <c r="G257" s="150"/>
      <c r="H257" s="157"/>
    </row>
    <row r="258" spans="1:8" ht="20" customHeight="1">
      <c r="A258" s="440"/>
      <c r="B258" s="440"/>
      <c r="C258" s="439" t="s">
        <v>305</v>
      </c>
      <c r="D258" s="147" t="s">
        <v>284</v>
      </c>
      <c r="E258" s="179">
        <v>-216.07</v>
      </c>
      <c r="F258" s="440"/>
      <c r="G258" s="150"/>
      <c r="H258" s="157"/>
    </row>
    <row r="259" spans="1:8" ht="20" customHeight="1">
      <c r="A259" s="440"/>
      <c r="B259" s="440"/>
      <c r="C259" s="440"/>
      <c r="D259" s="147" t="s">
        <v>286</v>
      </c>
      <c r="E259" s="149">
        <v>339.5</v>
      </c>
      <c r="F259" s="440"/>
      <c r="G259" s="150"/>
      <c r="H259" s="157"/>
    </row>
    <row r="260" spans="1:8" ht="20" customHeight="1">
      <c r="A260" s="440"/>
      <c r="B260" s="440"/>
      <c r="C260" s="440"/>
      <c r="D260" s="147" t="s">
        <v>287</v>
      </c>
      <c r="E260" s="149">
        <v>1903.1</v>
      </c>
      <c r="F260" s="440"/>
      <c r="G260" s="150"/>
      <c r="H260" s="157"/>
    </row>
    <row r="261" spans="1:8" ht="20" customHeight="1">
      <c r="A261" s="440"/>
      <c r="B261" s="440"/>
      <c r="C261" s="440"/>
      <c r="D261" s="147" t="s">
        <v>288</v>
      </c>
      <c r="E261" s="149">
        <v>456</v>
      </c>
      <c r="F261" s="440"/>
      <c r="G261" s="150"/>
      <c r="H261" s="157"/>
    </row>
    <row r="262" spans="1:8" ht="20" customHeight="1">
      <c r="A262" s="440"/>
      <c r="B262" s="440"/>
      <c r="C262" s="440"/>
      <c r="D262" s="147" t="s">
        <v>289</v>
      </c>
      <c r="E262" s="149">
        <v>1874.24</v>
      </c>
      <c r="F262" s="440"/>
      <c r="G262" s="150"/>
      <c r="H262" s="157"/>
    </row>
    <row r="263" spans="1:8" ht="20" customHeight="1">
      <c r="A263" s="440"/>
      <c r="B263" s="440"/>
      <c r="C263" s="440"/>
      <c r="D263" s="147" t="s">
        <v>290</v>
      </c>
      <c r="E263" s="149">
        <v>6.5</v>
      </c>
      <c r="F263" s="440"/>
      <c r="G263" s="150"/>
      <c r="H263" s="157"/>
    </row>
    <row r="264" spans="1:8" ht="20" customHeight="1">
      <c r="A264" s="440"/>
      <c r="B264" s="440"/>
      <c r="C264" s="440"/>
      <c r="D264" s="147" t="s">
        <v>291</v>
      </c>
      <c r="E264" s="149">
        <v>1685.55</v>
      </c>
      <c r="F264" s="440"/>
      <c r="G264" s="150"/>
      <c r="H264" s="157"/>
    </row>
    <row r="265" spans="1:8" ht="20" customHeight="1">
      <c r="A265" s="440"/>
      <c r="B265" s="440"/>
      <c r="C265" s="440"/>
      <c r="D265" s="147" t="s">
        <v>292</v>
      </c>
      <c r="E265" s="149">
        <v>63.61</v>
      </c>
      <c r="F265" s="440"/>
      <c r="G265" s="150"/>
      <c r="H265" s="157"/>
    </row>
    <row r="266" spans="1:8" ht="20" customHeight="1">
      <c r="A266" s="440"/>
      <c r="B266" s="440"/>
      <c r="C266" s="440"/>
      <c r="D266" s="147" t="s">
        <v>293</v>
      </c>
      <c r="E266" s="149">
        <v>9</v>
      </c>
      <c r="F266" s="440"/>
      <c r="G266" s="150"/>
      <c r="H266" s="157"/>
    </row>
    <row r="267" spans="1:8" ht="20" customHeight="1">
      <c r="A267" s="440"/>
      <c r="B267" s="440"/>
      <c r="C267" s="440"/>
      <c r="D267" s="147" t="s">
        <v>294</v>
      </c>
      <c r="E267" s="149">
        <v>383.37</v>
      </c>
      <c r="F267" s="440"/>
      <c r="G267" s="150"/>
      <c r="H267" s="157"/>
    </row>
    <row r="268" spans="1:8" ht="20" customHeight="1">
      <c r="A268" s="440"/>
      <c r="B268" s="440"/>
      <c r="C268" s="441"/>
      <c r="D268" s="147" t="s">
        <v>295</v>
      </c>
      <c r="E268" s="149">
        <v>385.54</v>
      </c>
      <c r="F268" s="440"/>
      <c r="G268" s="150"/>
      <c r="H268" s="157"/>
    </row>
    <row r="269" spans="1:8" ht="20" customHeight="1">
      <c r="A269" s="440"/>
      <c r="B269" s="441"/>
      <c r="C269" s="431" t="s">
        <v>303</v>
      </c>
      <c r="D269" s="434"/>
      <c r="E269" s="149">
        <v>6890.34</v>
      </c>
      <c r="F269" s="440"/>
      <c r="G269" s="150"/>
      <c r="H269" s="157"/>
    </row>
    <row r="270" spans="1:8" ht="20" customHeight="1">
      <c r="A270" s="441"/>
      <c r="B270" s="431" t="s">
        <v>303</v>
      </c>
      <c r="C270" s="433"/>
      <c r="D270" s="432"/>
      <c r="E270" s="152">
        <v>6998.2</v>
      </c>
      <c r="F270" s="441"/>
      <c r="G270" s="150"/>
      <c r="H270" s="157"/>
    </row>
    <row r="271" spans="1:8" ht="20" customHeight="1">
      <c r="A271" s="431" t="s">
        <v>176</v>
      </c>
      <c r="B271" s="433"/>
      <c r="C271" s="433"/>
      <c r="D271" s="432"/>
      <c r="E271" s="152">
        <v>45188.73</v>
      </c>
      <c r="F271" s="431" t="s">
        <v>306</v>
      </c>
      <c r="G271" s="432"/>
      <c r="H271" s="158" t="s">
        <v>419</v>
      </c>
    </row>
    <row r="272" spans="1:8" ht="20" customHeight="1">
      <c r="A272" s="431" t="s">
        <v>307</v>
      </c>
      <c r="B272" s="433"/>
      <c r="C272" s="433"/>
      <c r="D272" s="433"/>
      <c r="E272" s="434"/>
      <c r="F272" s="442">
        <v>20818.650000000001</v>
      </c>
      <c r="G272" s="443"/>
      <c r="H272" s="444"/>
    </row>
  </sheetData>
  <mergeCells count="212">
    <mergeCell ref="A25:D25"/>
    <mergeCell ref="F25:G25"/>
    <mergeCell ref="A26:E26"/>
    <mergeCell ref="F26:H26"/>
    <mergeCell ref="A1:H1"/>
    <mergeCell ref="A2:H2"/>
    <mergeCell ref="A3:A24"/>
    <mergeCell ref="B3:B7"/>
    <mergeCell ref="C3:D3"/>
    <mergeCell ref="F3:F24"/>
    <mergeCell ref="C4:D4"/>
    <mergeCell ref="C5:D5"/>
    <mergeCell ref="C6:D6"/>
    <mergeCell ref="C7:D7"/>
    <mergeCell ref="B8:D8"/>
    <mergeCell ref="B9:B23"/>
    <mergeCell ref="C9:C10"/>
    <mergeCell ref="C11:D11"/>
    <mergeCell ref="C12:C22"/>
    <mergeCell ref="C23:D23"/>
    <mergeCell ref="B24:D24"/>
    <mergeCell ref="F58:F79"/>
    <mergeCell ref="F85:F106"/>
    <mergeCell ref="F113:F134"/>
    <mergeCell ref="F141:F162"/>
    <mergeCell ref="F168:F189"/>
    <mergeCell ref="F195:F216"/>
    <mergeCell ref="F222:F243"/>
    <mergeCell ref="F249:F270"/>
    <mergeCell ref="P58:P70"/>
    <mergeCell ref="F244:G244"/>
    <mergeCell ref="F217:G217"/>
    <mergeCell ref="F218:H218"/>
    <mergeCell ref="F163:G163"/>
    <mergeCell ref="A111:H111"/>
    <mergeCell ref="A112:H112"/>
    <mergeCell ref="C113:D113"/>
    <mergeCell ref="C114:D114"/>
    <mergeCell ref="C115:D115"/>
    <mergeCell ref="C116:D116"/>
    <mergeCell ref="C117:D117"/>
    <mergeCell ref="B118:D118"/>
    <mergeCell ref="C121:D121"/>
    <mergeCell ref="C119:C120"/>
    <mergeCell ref="C88:D88"/>
    <mergeCell ref="C122:C132"/>
    <mergeCell ref="C147:C148"/>
    <mergeCell ref="C150:C160"/>
    <mergeCell ref="C174:C175"/>
    <mergeCell ref="C177:C187"/>
    <mergeCell ref="C201:C202"/>
    <mergeCell ref="C204:C214"/>
    <mergeCell ref="C228:C229"/>
    <mergeCell ref="C231:C241"/>
    <mergeCell ref="C215:D215"/>
    <mergeCell ref="B216:D216"/>
    <mergeCell ref="A217:D217"/>
    <mergeCell ref="A218:E218"/>
    <mergeCell ref="A220:H220"/>
    <mergeCell ref="A221:H221"/>
    <mergeCell ref="C222:D222"/>
    <mergeCell ref="A193:H193"/>
    <mergeCell ref="A194:H194"/>
    <mergeCell ref="C195:D195"/>
    <mergeCell ref="C196:D196"/>
    <mergeCell ref="C197:D197"/>
    <mergeCell ref="C198:D198"/>
    <mergeCell ref="C199:D199"/>
    <mergeCell ref="B200:D200"/>
    <mergeCell ref="A58:A79"/>
    <mergeCell ref="A85:A106"/>
    <mergeCell ref="A113:A134"/>
    <mergeCell ref="A141:A162"/>
    <mergeCell ref="A168:A189"/>
    <mergeCell ref="A195:A216"/>
    <mergeCell ref="A222:A243"/>
    <mergeCell ref="A249:A270"/>
    <mergeCell ref="B30:B34"/>
    <mergeCell ref="B36:B50"/>
    <mergeCell ref="B58:B62"/>
    <mergeCell ref="B64:B78"/>
    <mergeCell ref="B85:B89"/>
    <mergeCell ref="B91:B105"/>
    <mergeCell ref="B113:B117"/>
    <mergeCell ref="B119:B133"/>
    <mergeCell ref="B141:B145"/>
    <mergeCell ref="B147:B161"/>
    <mergeCell ref="B168:B172"/>
    <mergeCell ref="B174:B188"/>
    <mergeCell ref="B195:B199"/>
    <mergeCell ref="B201:B215"/>
    <mergeCell ref="B222:B226"/>
    <mergeCell ref="B228:B242"/>
    <mergeCell ref="C253:D253"/>
    <mergeCell ref="B254:D254"/>
    <mergeCell ref="C257:D257"/>
    <mergeCell ref="C269:D269"/>
    <mergeCell ref="B270:D270"/>
    <mergeCell ref="A271:D271"/>
    <mergeCell ref="F271:G271"/>
    <mergeCell ref="A272:E272"/>
    <mergeCell ref="F272:H272"/>
    <mergeCell ref="B249:B253"/>
    <mergeCell ref="B255:B269"/>
    <mergeCell ref="C255:C256"/>
    <mergeCell ref="C258:C268"/>
    <mergeCell ref="A245:E245"/>
    <mergeCell ref="F245:H245"/>
    <mergeCell ref="A247:H247"/>
    <mergeCell ref="A248:H248"/>
    <mergeCell ref="C249:D249"/>
    <mergeCell ref="C250:D250"/>
    <mergeCell ref="C251:D251"/>
    <mergeCell ref="C252:D252"/>
    <mergeCell ref="C223:D223"/>
    <mergeCell ref="C224:D224"/>
    <mergeCell ref="C225:D225"/>
    <mergeCell ref="C226:D226"/>
    <mergeCell ref="B227:D227"/>
    <mergeCell ref="C230:D230"/>
    <mergeCell ref="C242:D242"/>
    <mergeCell ref="B243:D243"/>
    <mergeCell ref="A244:D244"/>
    <mergeCell ref="C203:D203"/>
    <mergeCell ref="C172:D172"/>
    <mergeCell ref="B173:D173"/>
    <mergeCell ref="C176:D176"/>
    <mergeCell ref="C188:D188"/>
    <mergeCell ref="B189:D189"/>
    <mergeCell ref="A190:D190"/>
    <mergeCell ref="F190:G190"/>
    <mergeCell ref="A191:E191"/>
    <mergeCell ref="F191:H191"/>
    <mergeCell ref="A164:E164"/>
    <mergeCell ref="F164:H164"/>
    <mergeCell ref="A166:H166"/>
    <mergeCell ref="A167:H167"/>
    <mergeCell ref="C168:D168"/>
    <mergeCell ref="C169:D169"/>
    <mergeCell ref="C170:D170"/>
    <mergeCell ref="C171:D171"/>
    <mergeCell ref="C142:D142"/>
    <mergeCell ref="C143:D143"/>
    <mergeCell ref="C144:D144"/>
    <mergeCell ref="C145:D145"/>
    <mergeCell ref="B146:D146"/>
    <mergeCell ref="C149:D149"/>
    <mergeCell ref="C161:D161"/>
    <mergeCell ref="B162:D162"/>
    <mergeCell ref="A163:D163"/>
    <mergeCell ref="C133:D133"/>
    <mergeCell ref="B134:D134"/>
    <mergeCell ref="A135:D135"/>
    <mergeCell ref="F135:G135"/>
    <mergeCell ref="A136:E136"/>
    <mergeCell ref="F136:H136"/>
    <mergeCell ref="A139:H139"/>
    <mergeCell ref="A140:H140"/>
    <mergeCell ref="C141:D141"/>
    <mergeCell ref="C89:D89"/>
    <mergeCell ref="B90:D90"/>
    <mergeCell ref="C93:D93"/>
    <mergeCell ref="C105:D105"/>
    <mergeCell ref="B106:D106"/>
    <mergeCell ref="A107:D107"/>
    <mergeCell ref="F107:G107"/>
    <mergeCell ref="A108:E108"/>
    <mergeCell ref="F108:H108"/>
    <mergeCell ref="C91:C92"/>
    <mergeCell ref="C94:C104"/>
    <mergeCell ref="A80:D80"/>
    <mergeCell ref="F80:G80"/>
    <mergeCell ref="A81:E81"/>
    <mergeCell ref="F81:H81"/>
    <mergeCell ref="A83:H83"/>
    <mergeCell ref="A84:H84"/>
    <mergeCell ref="C85:D85"/>
    <mergeCell ref="C86:D86"/>
    <mergeCell ref="C87:D87"/>
    <mergeCell ref="C58:D58"/>
    <mergeCell ref="C59:D59"/>
    <mergeCell ref="C60:D60"/>
    <mergeCell ref="C61:D61"/>
    <mergeCell ref="C62:D62"/>
    <mergeCell ref="B63:D63"/>
    <mergeCell ref="C66:D66"/>
    <mergeCell ref="C78:D78"/>
    <mergeCell ref="B79:D79"/>
    <mergeCell ref="C64:C65"/>
    <mergeCell ref="C67:C77"/>
    <mergeCell ref="C50:D50"/>
    <mergeCell ref="B51:D51"/>
    <mergeCell ref="A52:D52"/>
    <mergeCell ref="F52:G52"/>
    <mergeCell ref="A53:E53"/>
    <mergeCell ref="F53:H53"/>
    <mergeCell ref="A56:H56"/>
    <mergeCell ref="L56:P56"/>
    <mergeCell ref="A57:H57"/>
    <mergeCell ref="A30:A51"/>
    <mergeCell ref="C36:C37"/>
    <mergeCell ref="C39:C49"/>
    <mergeCell ref="F30:F51"/>
    <mergeCell ref="A28:H28"/>
    <mergeCell ref="A29:H29"/>
    <mergeCell ref="C30:D30"/>
    <mergeCell ref="C31:D31"/>
    <mergeCell ref="C32:D32"/>
    <mergeCell ref="C33:D33"/>
    <mergeCell ref="C34:D34"/>
    <mergeCell ref="B35:D35"/>
    <mergeCell ref="C38:D38"/>
  </mergeCells>
  <phoneticPr fontId="30" type="noConversion"/>
  <pageMargins left="0.69930555555555596" right="0.69930555555555596"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237"/>
  <sheetViews>
    <sheetView showGridLines="0" zoomScale="83" zoomScaleNormal="114" workbookViewId="0">
      <selection activeCell="K15" sqref="K15"/>
    </sheetView>
  </sheetViews>
  <sheetFormatPr baseColWidth="10" defaultColWidth="11.6640625" defaultRowHeight="15"/>
  <cols>
    <col min="1" max="1" width="7" style="127" customWidth="1"/>
    <col min="2" max="3" width="9.5" style="127" customWidth="1"/>
    <col min="4" max="4" width="22.83203125" style="127" customWidth="1"/>
    <col min="5" max="5" width="17.83203125" style="128" customWidth="1"/>
    <col min="6" max="6" width="10.83203125" style="127" customWidth="1"/>
    <col min="7" max="7" width="12.83203125" style="127" customWidth="1"/>
    <col min="8" max="8" width="21.5" style="129" customWidth="1"/>
    <col min="9" max="16384" width="11.6640625" style="127"/>
  </cols>
  <sheetData>
    <row r="1" spans="1:8" ht="28">
      <c r="A1" s="449" t="s">
        <v>420</v>
      </c>
      <c r="B1" s="450"/>
      <c r="C1" s="450"/>
      <c r="D1" s="450"/>
      <c r="E1" s="450"/>
      <c r="F1" s="450"/>
      <c r="G1" s="450"/>
      <c r="H1" s="451"/>
    </row>
    <row r="2" spans="1:8">
      <c r="A2" s="452" t="s">
        <v>421</v>
      </c>
      <c r="B2" s="453"/>
      <c r="C2" s="453"/>
      <c r="D2" s="453"/>
      <c r="E2" s="453"/>
      <c r="F2" s="453"/>
      <c r="G2" s="453"/>
      <c r="H2" s="454"/>
    </row>
    <row r="3" spans="1:8" ht="16">
      <c r="A3" s="455" t="s">
        <v>422</v>
      </c>
      <c r="B3" s="460" t="s">
        <v>423</v>
      </c>
      <c r="C3" s="455" t="s">
        <v>282</v>
      </c>
      <c r="D3" s="131" t="s">
        <v>424</v>
      </c>
      <c r="E3" s="135">
        <v>65671.8</v>
      </c>
      <c r="F3" s="455" t="s">
        <v>301</v>
      </c>
      <c r="G3" s="131" t="s">
        <v>425</v>
      </c>
      <c r="H3" s="136">
        <v>-500</v>
      </c>
    </row>
    <row r="4" spans="1:8" ht="16">
      <c r="A4" s="455"/>
      <c r="B4" s="461"/>
      <c r="C4" s="455"/>
      <c r="D4" s="131" t="s">
        <v>283</v>
      </c>
      <c r="E4" s="135">
        <v>32000</v>
      </c>
      <c r="F4" s="455"/>
      <c r="G4" s="131"/>
      <c r="H4" s="136"/>
    </row>
    <row r="5" spans="1:8" ht="16">
      <c r="A5" s="455"/>
      <c r="B5" s="461"/>
      <c r="C5" s="130" t="s">
        <v>426</v>
      </c>
      <c r="D5" s="131" t="s">
        <v>427</v>
      </c>
      <c r="E5" s="135">
        <v>5156.66</v>
      </c>
      <c r="F5" s="455"/>
      <c r="G5" s="131"/>
      <c r="H5" s="136"/>
    </row>
    <row r="6" spans="1:8" ht="16">
      <c r="A6" s="455"/>
      <c r="B6" s="461"/>
      <c r="C6" s="130" t="s">
        <v>428</v>
      </c>
      <c r="D6" s="131" t="s">
        <v>429</v>
      </c>
      <c r="E6" s="135">
        <v>10000</v>
      </c>
      <c r="F6" s="455"/>
      <c r="G6" s="131"/>
      <c r="H6" s="136"/>
    </row>
    <row r="7" spans="1:8" ht="16">
      <c r="A7" s="455"/>
      <c r="B7" s="461"/>
      <c r="C7" s="130" t="s">
        <v>430</v>
      </c>
      <c r="D7" s="131" t="s">
        <v>431</v>
      </c>
      <c r="E7" s="135">
        <v>900</v>
      </c>
      <c r="F7" s="455"/>
      <c r="G7" s="131"/>
      <c r="H7" s="136"/>
    </row>
    <row r="8" spans="1:8" ht="16">
      <c r="A8" s="455"/>
      <c r="B8" s="462"/>
      <c r="C8" s="130" t="s">
        <v>432</v>
      </c>
      <c r="D8" s="131" t="s">
        <v>433</v>
      </c>
      <c r="E8" s="135">
        <v>1000</v>
      </c>
      <c r="F8" s="455"/>
      <c r="G8" s="131"/>
      <c r="H8" s="136"/>
    </row>
    <row r="9" spans="1:8">
      <c r="A9" s="455"/>
      <c r="B9" s="455" t="s">
        <v>303</v>
      </c>
      <c r="C9" s="455"/>
      <c r="D9" s="455"/>
      <c r="E9" s="137">
        <f>SUM(E3:E8)</f>
        <v>114728.46</v>
      </c>
      <c r="F9" s="455"/>
      <c r="G9" s="131"/>
      <c r="H9" s="136"/>
    </row>
    <row r="10" spans="1:8" ht="16">
      <c r="A10" s="455"/>
      <c r="B10" s="460" t="s">
        <v>434</v>
      </c>
      <c r="C10" s="455" t="s">
        <v>435</v>
      </c>
      <c r="D10" s="132" t="s">
        <v>436</v>
      </c>
      <c r="E10" s="135">
        <v>53000.88</v>
      </c>
      <c r="F10" s="455"/>
      <c r="G10" s="131"/>
      <c r="H10" s="136"/>
    </row>
    <row r="11" spans="1:8" ht="16">
      <c r="A11" s="455"/>
      <c r="B11" s="461"/>
      <c r="C11" s="455"/>
      <c r="D11" s="132" t="s">
        <v>286</v>
      </c>
      <c r="E11" s="135">
        <v>23013.200000000001</v>
      </c>
      <c r="F11" s="455"/>
      <c r="G11" s="131"/>
      <c r="H11" s="136"/>
    </row>
    <row r="12" spans="1:8" ht="16">
      <c r="A12" s="455"/>
      <c r="B12" s="461"/>
      <c r="C12" s="455"/>
      <c r="D12" s="132" t="s">
        <v>437</v>
      </c>
      <c r="E12" s="135">
        <v>17366.689999999999</v>
      </c>
      <c r="F12" s="455"/>
      <c r="G12" s="131"/>
      <c r="H12" s="136"/>
    </row>
    <row r="13" spans="1:8" ht="16">
      <c r="A13" s="455"/>
      <c r="B13" s="461"/>
      <c r="C13" s="455"/>
      <c r="D13" s="132" t="s">
        <v>288</v>
      </c>
      <c r="E13" s="135">
        <v>40748.980000000003</v>
      </c>
      <c r="F13" s="455"/>
      <c r="G13" s="131"/>
      <c r="H13" s="136"/>
    </row>
    <row r="14" spans="1:8" ht="16">
      <c r="A14" s="455"/>
      <c r="B14" s="461"/>
      <c r="C14" s="460" t="s">
        <v>438</v>
      </c>
      <c r="D14" s="132" t="s">
        <v>436</v>
      </c>
      <c r="E14" s="135">
        <v>146346.96</v>
      </c>
      <c r="F14" s="455"/>
      <c r="G14" s="131"/>
      <c r="H14" s="136"/>
    </row>
    <row r="15" spans="1:8" ht="16">
      <c r="A15" s="455"/>
      <c r="B15" s="461"/>
      <c r="C15" s="461"/>
      <c r="D15" s="127" t="s">
        <v>439</v>
      </c>
      <c r="E15" s="135">
        <v>37330.639999999999</v>
      </c>
      <c r="F15" s="455"/>
      <c r="G15" s="131"/>
      <c r="H15" s="136"/>
    </row>
    <row r="16" spans="1:8" ht="16">
      <c r="A16" s="455"/>
      <c r="B16" s="461"/>
      <c r="C16" s="462"/>
      <c r="D16" s="132" t="s">
        <v>291</v>
      </c>
      <c r="E16" s="135">
        <v>84278.58</v>
      </c>
      <c r="F16" s="455"/>
      <c r="G16" s="131"/>
      <c r="H16" s="136"/>
    </row>
    <row r="17" spans="1:8" ht="16">
      <c r="A17" s="455"/>
      <c r="B17" s="461"/>
      <c r="C17" s="455" t="s">
        <v>440</v>
      </c>
      <c r="D17" s="132" t="s">
        <v>292</v>
      </c>
      <c r="E17" s="135">
        <v>7283.74</v>
      </c>
      <c r="F17" s="455"/>
      <c r="G17" s="131"/>
      <c r="H17" s="136"/>
    </row>
    <row r="18" spans="1:8" ht="16">
      <c r="A18" s="455"/>
      <c r="B18" s="461"/>
      <c r="C18" s="455"/>
      <c r="D18" s="132" t="s">
        <v>293</v>
      </c>
      <c r="E18" s="135">
        <v>32439.58</v>
      </c>
      <c r="F18" s="455"/>
      <c r="G18" s="131"/>
      <c r="H18" s="136"/>
    </row>
    <row r="19" spans="1:8" ht="16">
      <c r="A19" s="455"/>
      <c r="B19" s="461"/>
      <c r="C19" s="130" t="s">
        <v>441</v>
      </c>
      <c r="D19" s="132" t="s">
        <v>294</v>
      </c>
      <c r="E19" s="135">
        <v>144589.76999999999</v>
      </c>
      <c r="F19" s="455"/>
      <c r="G19" s="131"/>
      <c r="H19" s="136"/>
    </row>
    <row r="20" spans="1:8" ht="16">
      <c r="A20" s="455"/>
      <c r="B20" s="461"/>
      <c r="C20" s="130" t="s">
        <v>442</v>
      </c>
      <c r="D20" s="132" t="s">
        <v>295</v>
      </c>
      <c r="E20" s="135">
        <v>54216.31</v>
      </c>
      <c r="F20" s="455"/>
      <c r="G20" s="131"/>
      <c r="H20" s="136"/>
    </row>
    <row r="21" spans="1:8">
      <c r="A21" s="455"/>
      <c r="B21" s="462"/>
      <c r="C21" s="130"/>
      <c r="D21" s="132"/>
      <c r="E21" s="137"/>
      <c r="F21" s="455"/>
      <c r="G21" s="131"/>
      <c r="H21" s="136"/>
    </row>
    <row r="22" spans="1:8">
      <c r="A22" s="455"/>
      <c r="B22" s="455" t="s">
        <v>303</v>
      </c>
      <c r="C22" s="455"/>
      <c r="D22" s="455"/>
      <c r="E22" s="138">
        <f>SUM(E10:E21)</f>
        <v>640615.33000000007</v>
      </c>
      <c r="F22" s="455"/>
      <c r="G22" s="131"/>
      <c r="H22" s="136"/>
    </row>
    <row r="23" spans="1:8">
      <c r="A23" s="455" t="s">
        <v>443</v>
      </c>
      <c r="B23" s="455"/>
      <c r="C23" s="455"/>
      <c r="D23" s="455"/>
      <c r="E23" s="138">
        <f>E22+E9</f>
        <v>755343.79</v>
      </c>
      <c r="F23" s="455" t="s">
        <v>444</v>
      </c>
      <c r="G23" s="455"/>
      <c r="H23" s="139">
        <f>SUM(H3:H22)</f>
        <v>-500</v>
      </c>
    </row>
    <row r="24" spans="1:8" ht="12" customHeight="1">
      <c r="A24" s="456" t="s">
        <v>445</v>
      </c>
      <c r="B24" s="457"/>
      <c r="C24" s="457"/>
      <c r="D24" s="457"/>
      <c r="E24" s="458"/>
      <c r="F24" s="459">
        <f>E23-H23</f>
        <v>755843.79</v>
      </c>
      <c r="G24" s="455"/>
      <c r="H24" s="455"/>
    </row>
    <row r="27" spans="1:8" ht="28">
      <c r="A27" s="449" t="s">
        <v>420</v>
      </c>
      <c r="B27" s="450"/>
      <c r="C27" s="450"/>
      <c r="D27" s="450"/>
      <c r="E27" s="450"/>
      <c r="F27" s="450"/>
      <c r="G27" s="450"/>
      <c r="H27" s="451"/>
    </row>
    <row r="28" spans="1:8">
      <c r="A28" s="452" t="s">
        <v>446</v>
      </c>
      <c r="B28" s="453"/>
      <c r="C28" s="453"/>
      <c r="D28" s="453"/>
      <c r="E28" s="453"/>
      <c r="F28" s="453"/>
      <c r="G28" s="453"/>
      <c r="H28" s="454"/>
    </row>
    <row r="29" spans="1:8" ht="16">
      <c r="A29" s="455" t="s">
        <v>422</v>
      </c>
      <c r="B29" s="460" t="s">
        <v>423</v>
      </c>
      <c r="C29" s="455" t="s">
        <v>282</v>
      </c>
      <c r="D29" s="131" t="s">
        <v>424</v>
      </c>
      <c r="E29" s="135">
        <v>65843.94</v>
      </c>
      <c r="F29" s="455" t="s">
        <v>301</v>
      </c>
      <c r="G29" s="131" t="s">
        <v>425</v>
      </c>
      <c r="H29" s="136">
        <v>0</v>
      </c>
    </row>
    <row r="30" spans="1:8" ht="16">
      <c r="A30" s="455"/>
      <c r="B30" s="461"/>
      <c r="C30" s="455"/>
      <c r="D30" s="131" t="s">
        <v>283</v>
      </c>
      <c r="E30" s="135">
        <v>32000</v>
      </c>
      <c r="F30" s="455"/>
      <c r="G30" s="131"/>
      <c r="H30" s="136"/>
    </row>
    <row r="31" spans="1:8" ht="16">
      <c r="A31" s="455"/>
      <c r="B31" s="461"/>
      <c r="C31" s="130" t="s">
        <v>426</v>
      </c>
      <c r="D31" s="131" t="s">
        <v>427</v>
      </c>
      <c r="E31" s="135">
        <v>19136.03</v>
      </c>
      <c r="F31" s="455"/>
      <c r="G31" s="131"/>
      <c r="H31" s="136"/>
    </row>
    <row r="32" spans="1:8" ht="16">
      <c r="A32" s="455"/>
      <c r="B32" s="461"/>
      <c r="C32" s="130" t="s">
        <v>428</v>
      </c>
      <c r="D32" s="131" t="s">
        <v>429</v>
      </c>
      <c r="E32" s="135">
        <v>10000</v>
      </c>
      <c r="F32" s="455"/>
      <c r="G32" s="131"/>
      <c r="H32" s="136"/>
    </row>
    <row r="33" spans="1:8" ht="16">
      <c r="A33" s="455"/>
      <c r="B33" s="462"/>
      <c r="C33" s="130" t="s">
        <v>432</v>
      </c>
      <c r="D33" s="131" t="s">
        <v>433</v>
      </c>
      <c r="E33" s="135">
        <v>1000</v>
      </c>
      <c r="F33" s="455"/>
      <c r="G33" s="131"/>
      <c r="H33" s="136"/>
    </row>
    <row r="34" spans="1:8">
      <c r="A34" s="455"/>
      <c r="B34" s="455" t="s">
        <v>303</v>
      </c>
      <c r="C34" s="455"/>
      <c r="D34" s="455"/>
      <c r="E34" s="137">
        <f>SUM(E29:E33)</f>
        <v>127979.97</v>
      </c>
      <c r="F34" s="455"/>
      <c r="G34" s="131"/>
      <c r="H34" s="136"/>
    </row>
    <row r="35" spans="1:8" ht="16">
      <c r="A35" s="455"/>
      <c r="B35" s="460" t="s">
        <v>434</v>
      </c>
      <c r="C35" s="455" t="s">
        <v>435</v>
      </c>
      <c r="D35" s="132" t="s">
        <v>436</v>
      </c>
      <c r="E35" s="135">
        <v>58647.199999999997</v>
      </c>
      <c r="F35" s="455"/>
      <c r="G35" s="131"/>
      <c r="H35" s="136"/>
    </row>
    <row r="36" spans="1:8" ht="16">
      <c r="A36" s="455"/>
      <c r="B36" s="461"/>
      <c r="C36" s="455"/>
      <c r="D36" s="132" t="s">
        <v>286</v>
      </c>
      <c r="E36" s="135">
        <v>23643.79</v>
      </c>
      <c r="F36" s="455"/>
      <c r="G36" s="131"/>
      <c r="H36" s="136"/>
    </row>
    <row r="37" spans="1:8" ht="16">
      <c r="A37" s="455"/>
      <c r="B37" s="461"/>
      <c r="C37" s="455"/>
      <c r="D37" s="132" t="s">
        <v>437</v>
      </c>
      <c r="E37" s="135">
        <v>17600.580000000002</v>
      </c>
      <c r="F37" s="455"/>
      <c r="G37" s="131"/>
      <c r="H37" s="136"/>
    </row>
    <row r="38" spans="1:8" ht="16">
      <c r="A38" s="455"/>
      <c r="B38" s="461"/>
      <c r="C38" s="455"/>
      <c r="D38" s="132" t="s">
        <v>288</v>
      </c>
      <c r="E38" s="135">
        <v>43049.33</v>
      </c>
      <c r="F38" s="455"/>
      <c r="G38" s="131"/>
      <c r="H38" s="136"/>
    </row>
    <row r="39" spans="1:8" ht="16">
      <c r="A39" s="455"/>
      <c r="B39" s="461"/>
      <c r="C39" s="460" t="s">
        <v>438</v>
      </c>
      <c r="D39" s="132" t="s">
        <v>436</v>
      </c>
      <c r="E39" s="135">
        <v>120841.84</v>
      </c>
      <c r="F39" s="455"/>
      <c r="G39" s="131"/>
      <c r="H39" s="136"/>
    </row>
    <row r="40" spans="1:8" ht="16">
      <c r="A40" s="455"/>
      <c r="B40" s="461"/>
      <c r="C40" s="461"/>
      <c r="D40" s="127" t="s">
        <v>439</v>
      </c>
      <c r="E40" s="135">
        <v>37993.105000000003</v>
      </c>
      <c r="F40" s="455"/>
      <c r="G40" s="131"/>
      <c r="H40" s="136"/>
    </row>
    <row r="41" spans="1:8" ht="16">
      <c r="A41" s="455"/>
      <c r="B41" s="461"/>
      <c r="C41" s="462"/>
      <c r="D41" s="132" t="s">
        <v>291</v>
      </c>
      <c r="E41" s="135">
        <v>87760.035000000003</v>
      </c>
      <c r="F41" s="455"/>
      <c r="G41" s="131"/>
      <c r="H41" s="136"/>
    </row>
    <row r="42" spans="1:8" ht="16">
      <c r="A42" s="455"/>
      <c r="B42" s="461"/>
      <c r="C42" s="455" t="s">
        <v>440</v>
      </c>
      <c r="D42" s="132" t="s">
        <v>292</v>
      </c>
      <c r="E42" s="135">
        <v>4237.24</v>
      </c>
      <c r="F42" s="455"/>
      <c r="G42" s="131"/>
      <c r="H42" s="136"/>
    </row>
    <row r="43" spans="1:8" ht="16">
      <c r="A43" s="455"/>
      <c r="B43" s="461"/>
      <c r="C43" s="455"/>
      <c r="D43" s="132" t="s">
        <v>293</v>
      </c>
      <c r="E43" s="135">
        <v>36204.370000000003</v>
      </c>
      <c r="F43" s="455"/>
      <c r="G43" s="131"/>
      <c r="H43" s="136"/>
    </row>
    <row r="44" spans="1:8" ht="16">
      <c r="A44" s="455"/>
      <c r="B44" s="461"/>
      <c r="C44" s="130" t="s">
        <v>441</v>
      </c>
      <c r="D44" s="132" t="s">
        <v>294</v>
      </c>
      <c r="E44" s="135">
        <v>140946.74</v>
      </c>
      <c r="F44" s="455"/>
      <c r="G44" s="131"/>
      <c r="H44" s="136"/>
    </row>
    <row r="45" spans="1:8" ht="16">
      <c r="A45" s="455"/>
      <c r="B45" s="461"/>
      <c r="C45" s="130" t="s">
        <v>442</v>
      </c>
      <c r="D45" s="132" t="s">
        <v>295</v>
      </c>
      <c r="E45" s="135">
        <v>56943.92</v>
      </c>
      <c r="F45" s="455"/>
      <c r="G45" s="131"/>
      <c r="H45" s="136"/>
    </row>
    <row r="46" spans="1:8">
      <c r="A46" s="455"/>
      <c r="B46" s="462"/>
      <c r="C46" s="130"/>
      <c r="D46" s="132"/>
      <c r="E46" s="137"/>
      <c r="F46" s="455"/>
      <c r="G46" s="131"/>
      <c r="H46" s="136"/>
    </row>
    <row r="47" spans="1:8">
      <c r="A47" s="455"/>
      <c r="B47" s="455" t="s">
        <v>303</v>
      </c>
      <c r="C47" s="455"/>
      <c r="D47" s="455"/>
      <c r="E47" s="138">
        <f>SUM(E35:E46)</f>
        <v>627868.15</v>
      </c>
      <c r="F47" s="455"/>
      <c r="G47" s="131"/>
      <c r="H47" s="136"/>
    </row>
    <row r="48" spans="1:8">
      <c r="A48" s="455" t="s">
        <v>443</v>
      </c>
      <c r="B48" s="455"/>
      <c r="C48" s="455"/>
      <c r="D48" s="455"/>
      <c r="E48" s="138">
        <f>E47+E34</f>
        <v>755848.12</v>
      </c>
      <c r="F48" s="455" t="s">
        <v>444</v>
      </c>
      <c r="G48" s="455"/>
      <c r="H48" s="139">
        <f>SUM(H29:H47)</f>
        <v>0</v>
      </c>
    </row>
    <row r="49" spans="1:8" ht="12" customHeight="1">
      <c r="A49" s="456" t="s">
        <v>445</v>
      </c>
      <c r="B49" s="457"/>
      <c r="C49" s="457"/>
      <c r="D49" s="457"/>
      <c r="E49" s="458"/>
      <c r="F49" s="459">
        <f>E48-H48</f>
        <v>755848.12</v>
      </c>
      <c r="G49" s="455"/>
      <c r="H49" s="455"/>
    </row>
    <row r="51" spans="1:8" ht="28">
      <c r="A51" s="449" t="s">
        <v>420</v>
      </c>
      <c r="B51" s="450"/>
      <c r="C51" s="450"/>
      <c r="D51" s="450"/>
      <c r="E51" s="450"/>
      <c r="F51" s="450"/>
      <c r="G51" s="450"/>
      <c r="H51" s="451"/>
    </row>
    <row r="52" spans="1:8">
      <c r="A52" s="452" t="s">
        <v>343</v>
      </c>
      <c r="B52" s="453"/>
      <c r="C52" s="453"/>
      <c r="D52" s="453"/>
      <c r="E52" s="453"/>
      <c r="F52" s="453"/>
      <c r="G52" s="453"/>
      <c r="H52" s="454"/>
    </row>
    <row r="53" spans="1:8" ht="16">
      <c r="A53" s="455" t="s">
        <v>422</v>
      </c>
      <c r="B53" s="460" t="s">
        <v>423</v>
      </c>
      <c r="C53" s="455" t="s">
        <v>282</v>
      </c>
      <c r="D53" s="131" t="s">
        <v>424</v>
      </c>
      <c r="E53" s="135">
        <v>65795.94</v>
      </c>
      <c r="F53" s="455" t="s">
        <v>301</v>
      </c>
      <c r="G53" s="131" t="s">
        <v>425</v>
      </c>
      <c r="H53" s="136">
        <v>0</v>
      </c>
    </row>
    <row r="54" spans="1:8" ht="16">
      <c r="A54" s="455"/>
      <c r="B54" s="461"/>
      <c r="C54" s="455"/>
      <c r="D54" s="131" t="s">
        <v>283</v>
      </c>
      <c r="E54" s="135">
        <v>32000</v>
      </c>
      <c r="F54" s="455"/>
      <c r="G54" s="131"/>
      <c r="H54" s="136"/>
    </row>
    <row r="55" spans="1:8" ht="16">
      <c r="A55" s="455"/>
      <c r="B55" s="461"/>
      <c r="C55" s="130" t="s">
        <v>426</v>
      </c>
      <c r="D55" s="131" t="s">
        <v>427</v>
      </c>
      <c r="E55" s="135">
        <v>4939.47</v>
      </c>
      <c r="F55" s="455"/>
      <c r="G55" s="131"/>
      <c r="H55" s="136"/>
    </row>
    <row r="56" spans="1:8" ht="16">
      <c r="A56" s="455"/>
      <c r="B56" s="462"/>
      <c r="C56" s="130" t="s">
        <v>432</v>
      </c>
      <c r="D56" s="131" t="s">
        <v>433</v>
      </c>
      <c r="E56" s="135">
        <v>1080</v>
      </c>
      <c r="F56" s="455"/>
      <c r="G56" s="131"/>
      <c r="H56" s="136"/>
    </row>
    <row r="57" spans="1:8">
      <c r="A57" s="455"/>
      <c r="B57" s="455" t="s">
        <v>303</v>
      </c>
      <c r="C57" s="455"/>
      <c r="D57" s="455"/>
      <c r="E57" s="137">
        <f>SUM(E53:E56)</f>
        <v>103815.41</v>
      </c>
      <c r="F57" s="455"/>
      <c r="G57" s="131"/>
      <c r="H57" s="136"/>
    </row>
    <row r="58" spans="1:8" ht="16">
      <c r="A58" s="455"/>
      <c r="B58" s="460" t="s">
        <v>434</v>
      </c>
      <c r="C58" s="455" t="s">
        <v>435</v>
      </c>
      <c r="D58" s="132" t="s">
        <v>436</v>
      </c>
      <c r="E58" s="135">
        <v>47645.88</v>
      </c>
      <c r="F58" s="455"/>
      <c r="G58" s="131"/>
      <c r="H58" s="136"/>
    </row>
    <row r="59" spans="1:8" ht="16">
      <c r="A59" s="455"/>
      <c r="B59" s="461"/>
      <c r="C59" s="455"/>
      <c r="D59" s="132" t="s">
        <v>286</v>
      </c>
      <c r="E59" s="135">
        <v>53335.62</v>
      </c>
      <c r="F59" s="455"/>
      <c r="G59" s="131"/>
      <c r="H59" s="136"/>
    </row>
    <row r="60" spans="1:8" ht="16">
      <c r="A60" s="455"/>
      <c r="B60" s="461"/>
      <c r="C60" s="455"/>
      <c r="D60" s="132" t="s">
        <v>437</v>
      </c>
      <c r="E60" s="135">
        <v>17309.29</v>
      </c>
      <c r="F60" s="455"/>
      <c r="G60" s="131"/>
      <c r="H60" s="136"/>
    </row>
    <row r="61" spans="1:8" ht="16">
      <c r="A61" s="455"/>
      <c r="B61" s="461"/>
      <c r="C61" s="455"/>
      <c r="D61" s="132" t="s">
        <v>288</v>
      </c>
      <c r="E61" s="135">
        <v>42580.53</v>
      </c>
      <c r="F61" s="455"/>
      <c r="G61" s="131"/>
      <c r="H61" s="136"/>
    </row>
    <row r="62" spans="1:8" ht="16">
      <c r="A62" s="455"/>
      <c r="B62" s="461"/>
      <c r="C62" s="460" t="s">
        <v>438</v>
      </c>
      <c r="D62" s="132" t="s">
        <v>436</v>
      </c>
      <c r="E62" s="135">
        <v>132733.07</v>
      </c>
      <c r="F62" s="455"/>
      <c r="G62" s="131"/>
      <c r="H62" s="136"/>
    </row>
    <row r="63" spans="1:8" ht="16">
      <c r="A63" s="455"/>
      <c r="B63" s="461"/>
      <c r="C63" s="461"/>
      <c r="D63" s="127" t="s">
        <v>439</v>
      </c>
      <c r="E63" s="135">
        <v>1041.71</v>
      </c>
      <c r="F63" s="455"/>
      <c r="G63" s="131"/>
      <c r="H63" s="136"/>
    </row>
    <row r="64" spans="1:8" ht="16">
      <c r="A64" s="455"/>
      <c r="B64" s="461"/>
      <c r="C64" s="462"/>
      <c r="D64" s="132" t="s">
        <v>291</v>
      </c>
      <c r="E64" s="135">
        <v>116346.04</v>
      </c>
      <c r="F64" s="455"/>
      <c r="G64" s="131"/>
      <c r="H64" s="136"/>
    </row>
    <row r="65" spans="1:8" ht="16">
      <c r="A65" s="455"/>
      <c r="B65" s="461"/>
      <c r="C65" s="455" t="s">
        <v>440</v>
      </c>
      <c r="D65" s="132" t="s">
        <v>292</v>
      </c>
      <c r="E65" s="135">
        <v>4207.9799999999996</v>
      </c>
      <c r="F65" s="455"/>
      <c r="G65" s="131"/>
      <c r="H65" s="136"/>
    </row>
    <row r="66" spans="1:8" ht="16">
      <c r="A66" s="455"/>
      <c r="B66" s="461"/>
      <c r="C66" s="455"/>
      <c r="D66" s="132" t="s">
        <v>293</v>
      </c>
      <c r="E66" s="135">
        <v>33675.379999999997</v>
      </c>
      <c r="F66" s="455"/>
      <c r="G66" s="131"/>
      <c r="H66" s="136"/>
    </row>
    <row r="67" spans="1:8" ht="16">
      <c r="A67" s="455"/>
      <c r="B67" s="461"/>
      <c r="C67" s="130" t="s">
        <v>441</v>
      </c>
      <c r="D67" s="132" t="s">
        <v>294</v>
      </c>
      <c r="E67" s="135">
        <v>110586.93</v>
      </c>
      <c r="F67" s="455"/>
      <c r="G67" s="131"/>
      <c r="H67" s="136"/>
    </row>
    <row r="68" spans="1:8" ht="16">
      <c r="A68" s="455"/>
      <c r="B68" s="461"/>
      <c r="C68" s="130" t="s">
        <v>442</v>
      </c>
      <c r="D68" s="132" t="s">
        <v>295</v>
      </c>
      <c r="E68" s="135">
        <v>58081.87</v>
      </c>
      <c r="F68" s="455"/>
      <c r="G68" s="131"/>
      <c r="H68" s="136"/>
    </row>
    <row r="69" spans="1:8">
      <c r="A69" s="455"/>
      <c r="B69" s="462"/>
      <c r="C69" s="130"/>
      <c r="D69" s="132"/>
      <c r="E69" s="137"/>
      <c r="F69" s="455"/>
      <c r="G69" s="131"/>
      <c r="H69" s="136"/>
    </row>
    <row r="70" spans="1:8">
      <c r="A70" s="455"/>
      <c r="B70" s="455" t="s">
        <v>303</v>
      </c>
      <c r="C70" s="455"/>
      <c r="D70" s="455"/>
      <c r="E70" s="138">
        <f>SUM(E58:E69)</f>
        <v>617544.29999999993</v>
      </c>
      <c r="F70" s="455"/>
      <c r="G70" s="131"/>
      <c r="H70" s="136"/>
    </row>
    <row r="71" spans="1:8">
      <c r="A71" s="455" t="s">
        <v>443</v>
      </c>
      <c r="B71" s="455"/>
      <c r="C71" s="455"/>
      <c r="D71" s="455"/>
      <c r="E71" s="138">
        <f>E70+E57</f>
        <v>721359.71</v>
      </c>
      <c r="F71" s="455" t="s">
        <v>444</v>
      </c>
      <c r="G71" s="455"/>
      <c r="H71" s="139">
        <f>SUM(H53:H70)</f>
        <v>0</v>
      </c>
    </row>
    <row r="72" spans="1:8" ht="12" customHeight="1">
      <c r="A72" s="456" t="s">
        <v>445</v>
      </c>
      <c r="B72" s="457"/>
      <c r="C72" s="457"/>
      <c r="D72" s="457"/>
      <c r="E72" s="458"/>
      <c r="F72" s="459">
        <f>E71-H71</f>
        <v>721359.71</v>
      </c>
      <c r="G72" s="455"/>
      <c r="H72" s="455"/>
    </row>
    <row r="74" spans="1:8" ht="28">
      <c r="A74" s="449" t="s">
        <v>420</v>
      </c>
      <c r="B74" s="450"/>
      <c r="C74" s="450"/>
      <c r="D74" s="450"/>
      <c r="E74" s="450"/>
      <c r="F74" s="450"/>
      <c r="G74" s="450"/>
      <c r="H74" s="451"/>
    </row>
    <row r="75" spans="1:8">
      <c r="A75" s="452" t="s">
        <v>447</v>
      </c>
      <c r="B75" s="453"/>
      <c r="C75" s="453"/>
      <c r="D75" s="453"/>
      <c r="E75" s="453"/>
      <c r="F75" s="453"/>
      <c r="G75" s="453"/>
      <c r="H75" s="454"/>
    </row>
    <row r="76" spans="1:8" ht="16">
      <c r="A76" s="455" t="s">
        <v>422</v>
      </c>
      <c r="B76" s="460" t="s">
        <v>423</v>
      </c>
      <c r="C76" s="455" t="s">
        <v>282</v>
      </c>
      <c r="D76" s="131" t="s">
        <v>424</v>
      </c>
      <c r="E76" s="135">
        <v>65364.1</v>
      </c>
      <c r="F76" s="455" t="s">
        <v>301</v>
      </c>
      <c r="G76" s="131" t="s">
        <v>425</v>
      </c>
      <c r="H76" s="136">
        <v>0</v>
      </c>
    </row>
    <row r="77" spans="1:8" ht="16">
      <c r="A77" s="455"/>
      <c r="B77" s="461"/>
      <c r="C77" s="455"/>
      <c r="D77" s="131" t="s">
        <v>283</v>
      </c>
      <c r="E77" s="135">
        <v>32000</v>
      </c>
      <c r="F77" s="455"/>
      <c r="G77" s="131"/>
      <c r="H77" s="136"/>
    </row>
    <row r="78" spans="1:8" ht="16">
      <c r="A78" s="455"/>
      <c r="B78" s="461"/>
      <c r="C78" s="130" t="s">
        <v>426</v>
      </c>
      <c r="D78" s="131" t="s">
        <v>427</v>
      </c>
      <c r="E78" s="135">
        <v>12096.01</v>
      </c>
      <c r="F78" s="455"/>
      <c r="G78" s="131"/>
      <c r="H78" s="136"/>
    </row>
    <row r="79" spans="1:8" ht="16">
      <c r="A79" s="455"/>
      <c r="B79" s="462"/>
      <c r="C79" s="130" t="s">
        <v>432</v>
      </c>
      <c r="D79" s="131" t="s">
        <v>433</v>
      </c>
      <c r="E79" s="135">
        <v>500</v>
      </c>
      <c r="F79" s="455"/>
      <c r="G79" s="131"/>
      <c r="H79" s="136"/>
    </row>
    <row r="80" spans="1:8">
      <c r="A80" s="455"/>
      <c r="B80" s="455" t="s">
        <v>303</v>
      </c>
      <c r="C80" s="455"/>
      <c r="D80" s="455"/>
      <c r="E80" s="137">
        <f>SUM(E76:E79)</f>
        <v>109960.11</v>
      </c>
      <c r="F80" s="455"/>
      <c r="G80" s="131"/>
      <c r="H80" s="136"/>
    </row>
    <row r="81" spans="1:8" ht="16">
      <c r="A81" s="455"/>
      <c r="B81" s="460" t="s">
        <v>434</v>
      </c>
      <c r="C81" s="455" t="s">
        <v>435</v>
      </c>
      <c r="D81" s="132" t="s">
        <v>436</v>
      </c>
      <c r="E81" s="135">
        <v>32384.400000000001</v>
      </c>
      <c r="F81" s="455"/>
      <c r="G81" s="131"/>
      <c r="H81" s="136"/>
    </row>
    <row r="82" spans="1:8" ht="16">
      <c r="A82" s="455"/>
      <c r="B82" s="461"/>
      <c r="C82" s="455"/>
      <c r="D82" s="132" t="s">
        <v>286</v>
      </c>
      <c r="E82" s="135">
        <v>53028.99</v>
      </c>
      <c r="F82" s="455"/>
      <c r="G82" s="131"/>
      <c r="H82" s="136"/>
    </row>
    <row r="83" spans="1:8" ht="16">
      <c r="A83" s="455"/>
      <c r="B83" s="461"/>
      <c r="C83" s="455"/>
      <c r="D83" s="132" t="s">
        <v>437</v>
      </c>
      <c r="E83" s="135">
        <v>17274.47</v>
      </c>
      <c r="F83" s="455"/>
      <c r="G83" s="131"/>
      <c r="H83" s="136"/>
    </row>
    <row r="84" spans="1:8" ht="16">
      <c r="A84" s="455"/>
      <c r="B84" s="461"/>
      <c r="C84" s="455"/>
      <c r="D84" s="132" t="s">
        <v>288</v>
      </c>
      <c r="E84" s="135">
        <v>42032.11</v>
      </c>
      <c r="F84" s="455"/>
      <c r="G84" s="131"/>
      <c r="H84" s="136"/>
    </row>
    <row r="85" spans="1:8" ht="16">
      <c r="A85" s="455"/>
      <c r="B85" s="461"/>
      <c r="C85" s="460" t="s">
        <v>438</v>
      </c>
      <c r="D85" s="132" t="s">
        <v>436</v>
      </c>
      <c r="E85" s="135">
        <v>110516.51</v>
      </c>
      <c r="F85" s="455"/>
      <c r="G85" s="131"/>
      <c r="H85" s="136"/>
    </row>
    <row r="86" spans="1:8" ht="16">
      <c r="A86" s="455"/>
      <c r="B86" s="461"/>
      <c r="C86" s="461"/>
      <c r="D86" s="127" t="s">
        <v>439</v>
      </c>
      <c r="E86" s="135">
        <v>1037.74</v>
      </c>
      <c r="F86" s="455"/>
      <c r="G86" s="131"/>
      <c r="H86" s="136"/>
    </row>
    <row r="87" spans="1:8" ht="16">
      <c r="A87" s="455"/>
      <c r="B87" s="461"/>
      <c r="C87" s="462"/>
      <c r="D87" s="132" t="s">
        <v>291</v>
      </c>
      <c r="E87" s="135">
        <v>114747.53</v>
      </c>
      <c r="F87" s="455"/>
      <c r="G87" s="131"/>
      <c r="H87" s="136"/>
    </row>
    <row r="88" spans="1:8" ht="16">
      <c r="A88" s="455"/>
      <c r="B88" s="461"/>
      <c r="C88" s="455" t="s">
        <v>440</v>
      </c>
      <c r="D88" s="132" t="s">
        <v>292</v>
      </c>
      <c r="E88" s="135">
        <v>4212.3</v>
      </c>
      <c r="F88" s="455"/>
      <c r="G88" s="131"/>
      <c r="H88" s="136"/>
    </row>
    <row r="89" spans="1:8" ht="16">
      <c r="A89" s="455"/>
      <c r="B89" s="461"/>
      <c r="C89" s="455"/>
      <c r="D89" s="132" t="s">
        <v>293</v>
      </c>
      <c r="E89" s="135">
        <v>33435.78</v>
      </c>
      <c r="F89" s="455"/>
      <c r="G89" s="131"/>
      <c r="H89" s="136"/>
    </row>
    <row r="90" spans="1:8" ht="16">
      <c r="A90" s="455"/>
      <c r="B90" s="461"/>
      <c r="C90" s="130" t="s">
        <v>441</v>
      </c>
      <c r="D90" s="132" t="s">
        <v>294</v>
      </c>
      <c r="E90" s="135">
        <v>99268.91</v>
      </c>
      <c r="F90" s="455"/>
      <c r="G90" s="131"/>
      <c r="H90" s="136"/>
    </row>
    <row r="91" spans="1:8" ht="16">
      <c r="A91" s="455"/>
      <c r="B91" s="461"/>
      <c r="C91" s="130" t="s">
        <v>442</v>
      </c>
      <c r="D91" s="132" t="s">
        <v>295</v>
      </c>
      <c r="E91" s="135">
        <v>57427.8</v>
      </c>
      <c r="F91" s="455"/>
      <c r="G91" s="131"/>
      <c r="H91" s="136"/>
    </row>
    <row r="92" spans="1:8">
      <c r="A92" s="455"/>
      <c r="B92" s="462"/>
      <c r="C92" s="130"/>
      <c r="D92" s="132"/>
      <c r="E92" s="137"/>
      <c r="F92" s="455"/>
      <c r="G92" s="131"/>
      <c r="H92" s="136"/>
    </row>
    <row r="93" spans="1:8">
      <c r="A93" s="455"/>
      <c r="B93" s="455" t="s">
        <v>303</v>
      </c>
      <c r="C93" s="455"/>
      <c r="D93" s="455"/>
      <c r="E93" s="138">
        <f>SUM(E81:E92)</f>
        <v>565366.54</v>
      </c>
      <c r="F93" s="455"/>
      <c r="G93" s="131"/>
      <c r="H93" s="136"/>
    </row>
    <row r="94" spans="1:8">
      <c r="A94" s="455" t="s">
        <v>443</v>
      </c>
      <c r="B94" s="455"/>
      <c r="C94" s="455"/>
      <c r="D94" s="455"/>
      <c r="E94" s="138">
        <f>E93+E80</f>
        <v>675326.65</v>
      </c>
      <c r="F94" s="455" t="s">
        <v>444</v>
      </c>
      <c r="G94" s="455"/>
      <c r="H94" s="139">
        <f>SUM(H76:H93)</f>
        <v>0</v>
      </c>
    </row>
    <row r="95" spans="1:8" ht="12" customHeight="1">
      <c r="A95" s="456" t="s">
        <v>445</v>
      </c>
      <c r="B95" s="457"/>
      <c r="C95" s="457"/>
      <c r="D95" s="457"/>
      <c r="E95" s="458"/>
      <c r="F95" s="459">
        <f>E94-H94</f>
        <v>675326.65</v>
      </c>
      <c r="G95" s="455"/>
      <c r="H95" s="455"/>
    </row>
    <row r="99" spans="1:8" ht="28">
      <c r="A99" s="449" t="s">
        <v>420</v>
      </c>
      <c r="B99" s="450"/>
      <c r="C99" s="450"/>
      <c r="D99" s="450"/>
      <c r="E99" s="450"/>
      <c r="F99" s="450"/>
      <c r="G99" s="450"/>
      <c r="H99" s="451"/>
    </row>
    <row r="100" spans="1:8">
      <c r="A100" s="452" t="s">
        <v>448</v>
      </c>
      <c r="B100" s="453"/>
      <c r="C100" s="453"/>
      <c r="D100" s="453"/>
      <c r="E100" s="453"/>
      <c r="F100" s="453"/>
      <c r="G100" s="453"/>
      <c r="H100" s="454"/>
    </row>
    <row r="101" spans="1:8" ht="16">
      <c r="A101" s="455" t="s">
        <v>422</v>
      </c>
      <c r="B101" s="460" t="s">
        <v>423</v>
      </c>
      <c r="C101" s="455" t="s">
        <v>435</v>
      </c>
      <c r="D101" s="131" t="s">
        <v>427</v>
      </c>
      <c r="E101" s="135">
        <v>7312.16</v>
      </c>
      <c r="F101" s="455" t="s">
        <v>301</v>
      </c>
      <c r="G101" s="131" t="s">
        <v>425</v>
      </c>
      <c r="H101" s="136">
        <v>0</v>
      </c>
    </row>
    <row r="102" spans="1:8" ht="16">
      <c r="A102" s="455"/>
      <c r="B102" s="461"/>
      <c r="C102" s="455"/>
      <c r="D102" s="131" t="s">
        <v>424</v>
      </c>
      <c r="E102" s="135">
        <v>65006.36</v>
      </c>
      <c r="F102" s="455"/>
      <c r="G102" s="131"/>
      <c r="H102" s="136"/>
    </row>
    <row r="103" spans="1:8" ht="16">
      <c r="A103" s="455"/>
      <c r="B103" s="461"/>
      <c r="C103" s="130" t="s">
        <v>438</v>
      </c>
      <c r="D103" s="131" t="s">
        <v>283</v>
      </c>
      <c r="E103" s="135">
        <v>32000</v>
      </c>
      <c r="F103" s="455"/>
      <c r="G103" s="131"/>
      <c r="H103" s="136"/>
    </row>
    <row r="104" spans="1:8" ht="16">
      <c r="A104" s="455"/>
      <c r="B104" s="462"/>
      <c r="C104" s="130" t="s">
        <v>432</v>
      </c>
      <c r="D104" s="127" t="s">
        <v>433</v>
      </c>
      <c r="E104" s="135">
        <v>1097.72</v>
      </c>
      <c r="F104" s="455"/>
      <c r="G104" s="131"/>
      <c r="H104" s="136"/>
    </row>
    <row r="105" spans="1:8">
      <c r="A105" s="455"/>
      <c r="B105" s="455" t="s">
        <v>303</v>
      </c>
      <c r="C105" s="455"/>
      <c r="D105" s="455"/>
      <c r="E105" s="137">
        <f>SUM(E101:E104)</f>
        <v>105416.24</v>
      </c>
      <c r="F105" s="455"/>
      <c r="G105" s="131"/>
      <c r="H105" s="136"/>
    </row>
    <row r="106" spans="1:8" ht="16">
      <c r="A106" s="455"/>
      <c r="B106" s="460" t="s">
        <v>434</v>
      </c>
      <c r="C106" s="455" t="s">
        <v>435</v>
      </c>
      <c r="D106" s="132" t="s">
        <v>436</v>
      </c>
      <c r="E106" s="135">
        <v>31107.63</v>
      </c>
      <c r="F106" s="455"/>
      <c r="G106" s="131"/>
      <c r="H106" s="136"/>
    </row>
    <row r="107" spans="1:8" ht="16">
      <c r="A107" s="455"/>
      <c r="B107" s="461"/>
      <c r="C107" s="455"/>
      <c r="D107" s="132" t="s">
        <v>286</v>
      </c>
      <c r="E107" s="135">
        <v>53190.879999999997</v>
      </c>
      <c r="F107" s="455"/>
      <c r="G107" s="131"/>
      <c r="H107" s="136"/>
    </row>
    <row r="108" spans="1:8" ht="16">
      <c r="A108" s="455"/>
      <c r="B108" s="461"/>
      <c r="C108" s="455"/>
      <c r="D108" s="132" t="s">
        <v>437</v>
      </c>
      <c r="E108" s="135">
        <v>17210.93</v>
      </c>
      <c r="F108" s="455"/>
      <c r="G108" s="131"/>
      <c r="H108" s="136"/>
    </row>
    <row r="109" spans="1:8" ht="16">
      <c r="A109" s="455"/>
      <c r="B109" s="461"/>
      <c r="C109" s="455"/>
      <c r="D109" s="132" t="s">
        <v>288</v>
      </c>
      <c r="E109" s="135">
        <v>41704.21</v>
      </c>
      <c r="F109" s="455"/>
      <c r="G109" s="131"/>
      <c r="H109" s="136"/>
    </row>
    <row r="110" spans="1:8" ht="16">
      <c r="A110" s="455"/>
      <c r="B110" s="461"/>
      <c r="C110" s="460" t="s">
        <v>438</v>
      </c>
      <c r="D110" s="132" t="s">
        <v>436</v>
      </c>
      <c r="E110" s="135">
        <v>95068.1</v>
      </c>
      <c r="F110" s="455"/>
      <c r="G110" s="131"/>
      <c r="H110" s="136"/>
    </row>
    <row r="111" spans="1:8" ht="16">
      <c r="A111" s="455"/>
      <c r="B111" s="461"/>
      <c r="C111" s="461"/>
      <c r="D111" s="127" t="s">
        <v>439</v>
      </c>
      <c r="E111" s="135">
        <v>1028.1199999999999</v>
      </c>
      <c r="F111" s="455"/>
      <c r="G111" s="131"/>
      <c r="H111" s="136"/>
    </row>
    <row r="112" spans="1:8" ht="16">
      <c r="A112" s="455"/>
      <c r="B112" s="461"/>
      <c r="C112" s="462"/>
      <c r="D112" s="132" t="s">
        <v>291</v>
      </c>
      <c r="E112" s="135">
        <v>113723.81</v>
      </c>
      <c r="F112" s="455"/>
      <c r="G112" s="131"/>
      <c r="H112" s="136"/>
    </row>
    <row r="113" spans="1:8" ht="16">
      <c r="A113" s="455"/>
      <c r="B113" s="461"/>
      <c r="C113" s="455" t="s">
        <v>440</v>
      </c>
      <c r="D113" s="132" t="s">
        <v>292</v>
      </c>
      <c r="E113" s="135">
        <v>4207</v>
      </c>
      <c r="F113" s="455"/>
      <c r="G113" s="131"/>
      <c r="H113" s="136"/>
    </row>
    <row r="114" spans="1:8" ht="16">
      <c r="A114" s="455"/>
      <c r="B114" s="461"/>
      <c r="C114" s="455"/>
      <c r="D114" s="132" t="s">
        <v>293</v>
      </c>
      <c r="E114" s="135">
        <v>33330.019999999997</v>
      </c>
      <c r="F114" s="455"/>
      <c r="G114" s="131"/>
      <c r="H114" s="136"/>
    </row>
    <row r="115" spans="1:8" ht="16">
      <c r="A115" s="455"/>
      <c r="B115" s="461"/>
      <c r="C115" s="130" t="s">
        <v>441</v>
      </c>
      <c r="D115" s="132" t="s">
        <v>294</v>
      </c>
      <c r="E115" s="135">
        <v>83460.2</v>
      </c>
      <c r="F115" s="455"/>
      <c r="G115" s="131"/>
      <c r="H115" s="136"/>
    </row>
    <row r="116" spans="1:8" ht="16">
      <c r="A116" s="455"/>
      <c r="B116" s="461"/>
      <c r="C116" s="130" t="s">
        <v>442</v>
      </c>
      <c r="D116" s="132" t="s">
        <v>295</v>
      </c>
      <c r="E116" s="135">
        <v>49611.42</v>
      </c>
      <c r="F116" s="455"/>
      <c r="G116" s="131"/>
      <c r="H116" s="136"/>
    </row>
    <row r="117" spans="1:8">
      <c r="A117" s="455"/>
      <c r="B117" s="462"/>
      <c r="C117" s="130"/>
      <c r="D117" s="132"/>
      <c r="E117" s="137"/>
      <c r="F117" s="455"/>
      <c r="G117" s="131"/>
      <c r="H117" s="136"/>
    </row>
    <row r="118" spans="1:8">
      <c r="A118" s="455"/>
      <c r="B118" s="455" t="s">
        <v>303</v>
      </c>
      <c r="C118" s="455"/>
      <c r="D118" s="455"/>
      <c r="E118" s="138">
        <f>SUM(E106:E117)</f>
        <v>523642.32</v>
      </c>
      <c r="F118" s="455"/>
      <c r="G118" s="131"/>
      <c r="H118" s="136"/>
    </row>
    <row r="119" spans="1:8">
      <c r="A119" s="455" t="s">
        <v>443</v>
      </c>
      <c r="B119" s="455"/>
      <c r="C119" s="455"/>
      <c r="D119" s="455"/>
      <c r="E119" s="138">
        <f>E118+E105</f>
        <v>629058.56000000006</v>
      </c>
      <c r="F119" s="455" t="s">
        <v>444</v>
      </c>
      <c r="G119" s="455"/>
      <c r="H119" s="139">
        <f>SUM(H101:H118)</f>
        <v>0</v>
      </c>
    </row>
    <row r="120" spans="1:8" ht="12" customHeight="1">
      <c r="A120" s="456" t="s">
        <v>445</v>
      </c>
      <c r="B120" s="457"/>
      <c r="C120" s="457"/>
      <c r="D120" s="457"/>
      <c r="E120" s="458"/>
      <c r="F120" s="459">
        <f>E119-H119</f>
        <v>629058.56000000006</v>
      </c>
      <c r="G120" s="455"/>
      <c r="H120" s="455"/>
    </row>
    <row r="123" spans="1:8" ht="28">
      <c r="A123" s="449" t="s">
        <v>420</v>
      </c>
      <c r="B123" s="450"/>
      <c r="C123" s="450"/>
      <c r="D123" s="450"/>
      <c r="E123" s="450"/>
      <c r="F123" s="450"/>
      <c r="G123" s="450"/>
      <c r="H123" s="451"/>
    </row>
    <row r="124" spans="1:8">
      <c r="A124" s="452" t="s">
        <v>449</v>
      </c>
      <c r="B124" s="453"/>
      <c r="C124" s="453"/>
      <c r="D124" s="453"/>
      <c r="E124" s="453"/>
      <c r="F124" s="453"/>
      <c r="G124" s="453"/>
      <c r="H124" s="454"/>
    </row>
    <row r="125" spans="1:8" ht="16">
      <c r="A125" s="455" t="s">
        <v>422</v>
      </c>
      <c r="B125" s="460" t="s">
        <v>423</v>
      </c>
      <c r="C125" s="455" t="s">
        <v>435</v>
      </c>
      <c r="D125" s="131" t="s">
        <v>427</v>
      </c>
      <c r="E125" s="135">
        <v>3815.95</v>
      </c>
      <c r="F125" s="455" t="s">
        <v>301</v>
      </c>
      <c r="G125" s="131" t="s">
        <v>425</v>
      </c>
      <c r="H125" s="136">
        <v>0</v>
      </c>
    </row>
    <row r="126" spans="1:8" ht="16">
      <c r="A126" s="455"/>
      <c r="B126" s="461"/>
      <c r="C126" s="455"/>
      <c r="D126" s="131" t="s">
        <v>424</v>
      </c>
      <c r="E126" s="135">
        <v>65117.08</v>
      </c>
      <c r="F126" s="455"/>
      <c r="G126" s="131"/>
      <c r="H126" s="136"/>
    </row>
    <row r="127" spans="1:8" ht="16">
      <c r="A127" s="455"/>
      <c r="B127" s="461"/>
      <c r="C127" s="130" t="s">
        <v>438</v>
      </c>
      <c r="D127" s="131" t="s">
        <v>283</v>
      </c>
      <c r="E127" s="135">
        <v>32000</v>
      </c>
      <c r="F127" s="455"/>
      <c r="G127" s="131"/>
      <c r="H127" s="136"/>
    </row>
    <row r="128" spans="1:8" ht="16">
      <c r="A128" s="455"/>
      <c r="B128" s="462"/>
      <c r="C128" s="130" t="s">
        <v>432</v>
      </c>
      <c r="D128" s="127" t="s">
        <v>433</v>
      </c>
      <c r="E128" s="135">
        <v>1000</v>
      </c>
      <c r="F128" s="455"/>
      <c r="G128" s="131"/>
      <c r="H128" s="136"/>
    </row>
    <row r="129" spans="1:8">
      <c r="A129" s="455"/>
      <c r="B129" s="455" t="s">
        <v>303</v>
      </c>
      <c r="C129" s="455"/>
      <c r="D129" s="455"/>
      <c r="E129" s="137">
        <f>SUM(E125:E128)</f>
        <v>101933.03</v>
      </c>
      <c r="F129" s="455"/>
      <c r="G129" s="131"/>
      <c r="H129" s="136"/>
    </row>
    <row r="130" spans="1:8" ht="16">
      <c r="A130" s="455"/>
      <c r="B130" s="460" t="s">
        <v>434</v>
      </c>
      <c r="C130" s="455" t="s">
        <v>435</v>
      </c>
      <c r="D130" s="132" t="s">
        <v>436</v>
      </c>
      <c r="E130" s="135">
        <v>22045.84</v>
      </c>
      <c r="F130" s="455"/>
      <c r="G130" s="131"/>
      <c r="H130" s="136"/>
    </row>
    <row r="131" spans="1:8" ht="16">
      <c r="A131" s="455"/>
      <c r="B131" s="461"/>
      <c r="C131" s="455"/>
      <c r="D131" s="132" t="s">
        <v>286</v>
      </c>
      <c r="E131" s="135">
        <v>53661.279999999999</v>
      </c>
      <c r="F131" s="455"/>
      <c r="G131" s="131"/>
      <c r="H131" s="136"/>
    </row>
    <row r="132" spans="1:8" ht="16">
      <c r="A132" s="455"/>
      <c r="B132" s="461"/>
      <c r="C132" s="455"/>
      <c r="D132" s="132" t="s">
        <v>437</v>
      </c>
      <c r="E132" s="135">
        <v>17694.75</v>
      </c>
      <c r="F132" s="455"/>
      <c r="G132" s="131"/>
      <c r="H132" s="136"/>
    </row>
    <row r="133" spans="1:8" ht="16">
      <c r="A133" s="455"/>
      <c r="B133" s="461"/>
      <c r="C133" s="455"/>
      <c r="D133" s="132" t="s">
        <v>288</v>
      </c>
      <c r="E133" s="135">
        <v>42200.24</v>
      </c>
      <c r="F133" s="455"/>
      <c r="G133" s="131"/>
      <c r="H133" s="136"/>
    </row>
    <row r="134" spans="1:8" ht="16">
      <c r="A134" s="455"/>
      <c r="B134" s="461"/>
      <c r="C134" s="460" t="s">
        <v>438</v>
      </c>
      <c r="D134" s="132" t="s">
        <v>436</v>
      </c>
      <c r="E134" s="135">
        <v>96056.66</v>
      </c>
      <c r="F134" s="455"/>
      <c r="G134" s="131"/>
      <c r="H134" s="136"/>
    </row>
    <row r="135" spans="1:8" ht="16">
      <c r="A135" s="455"/>
      <c r="B135" s="461"/>
      <c r="C135" s="461"/>
      <c r="D135" s="127" t="s">
        <v>439</v>
      </c>
      <c r="E135" s="135">
        <v>1033.67</v>
      </c>
      <c r="F135" s="455"/>
      <c r="G135" s="131"/>
      <c r="H135" s="136"/>
    </row>
    <row r="136" spans="1:8" ht="16">
      <c r="A136" s="455"/>
      <c r="B136" s="461"/>
      <c r="C136" s="462"/>
      <c r="D136" s="132" t="s">
        <v>291</v>
      </c>
      <c r="E136" s="135">
        <v>114194.99</v>
      </c>
      <c r="F136" s="455"/>
      <c r="G136" s="131"/>
      <c r="H136" s="136"/>
    </row>
    <row r="137" spans="1:8" ht="16">
      <c r="A137" s="455"/>
      <c r="B137" s="461"/>
      <c r="C137" s="455" t="s">
        <v>440</v>
      </c>
      <c r="D137" s="132" t="s">
        <v>292</v>
      </c>
      <c r="E137" s="135">
        <v>4215.67</v>
      </c>
      <c r="F137" s="455"/>
      <c r="G137" s="131"/>
      <c r="H137" s="136"/>
    </row>
    <row r="138" spans="1:8" ht="16">
      <c r="A138" s="455"/>
      <c r="B138" s="461"/>
      <c r="C138" s="455"/>
      <c r="D138" s="132" t="s">
        <v>293</v>
      </c>
      <c r="E138" s="135">
        <v>33862.46</v>
      </c>
      <c r="F138" s="455"/>
      <c r="G138" s="131"/>
      <c r="H138" s="136"/>
    </row>
    <row r="139" spans="1:8" ht="16">
      <c r="A139" s="455"/>
      <c r="B139" s="461"/>
      <c r="C139" s="130" t="s">
        <v>441</v>
      </c>
      <c r="D139" s="132" t="s">
        <v>294</v>
      </c>
      <c r="E139" s="135">
        <v>53910.93</v>
      </c>
      <c r="F139" s="455"/>
      <c r="G139" s="131"/>
      <c r="H139" s="136"/>
    </row>
    <row r="140" spans="1:8" ht="16">
      <c r="A140" s="455"/>
      <c r="B140" s="461"/>
      <c r="C140" s="130" t="s">
        <v>442</v>
      </c>
      <c r="D140" s="132" t="s">
        <v>295</v>
      </c>
      <c r="E140" s="135">
        <v>50573.98</v>
      </c>
      <c r="F140" s="455"/>
      <c r="G140" s="131"/>
      <c r="H140" s="136"/>
    </row>
    <row r="141" spans="1:8">
      <c r="A141" s="455"/>
      <c r="B141" s="462"/>
      <c r="C141" s="130"/>
      <c r="D141" s="132"/>
      <c r="E141" s="137"/>
      <c r="F141" s="455"/>
      <c r="G141" s="131"/>
      <c r="H141" s="136"/>
    </row>
    <row r="142" spans="1:8">
      <c r="A142" s="455"/>
      <c r="B142" s="455" t="s">
        <v>303</v>
      </c>
      <c r="C142" s="455"/>
      <c r="D142" s="455"/>
      <c r="E142" s="138">
        <f>SUM(E130:E141)</f>
        <v>489450.47</v>
      </c>
      <c r="F142" s="455"/>
      <c r="G142" s="131"/>
      <c r="H142" s="136"/>
    </row>
    <row r="143" spans="1:8">
      <c r="A143" s="455" t="s">
        <v>443</v>
      </c>
      <c r="B143" s="455"/>
      <c r="C143" s="455"/>
      <c r="D143" s="455"/>
      <c r="E143" s="138">
        <f>E142+E129</f>
        <v>591383.5</v>
      </c>
      <c r="F143" s="455" t="s">
        <v>444</v>
      </c>
      <c r="G143" s="455"/>
      <c r="H143" s="139">
        <f>SUM(H125:H142)</f>
        <v>0</v>
      </c>
    </row>
    <row r="144" spans="1:8" ht="12" customHeight="1">
      <c r="A144" s="456" t="s">
        <v>445</v>
      </c>
      <c r="B144" s="457"/>
      <c r="C144" s="457"/>
      <c r="D144" s="457"/>
      <c r="E144" s="458"/>
      <c r="F144" s="459">
        <f>E143-H143</f>
        <v>591383.5</v>
      </c>
      <c r="G144" s="455"/>
      <c r="H144" s="455"/>
    </row>
    <row r="145" spans="1:8">
      <c r="A145" s="133"/>
      <c r="B145" s="134"/>
      <c r="C145" s="134"/>
      <c r="D145" s="134"/>
      <c r="E145" s="134"/>
      <c r="F145" s="142"/>
      <c r="G145" s="134"/>
      <c r="H145" s="140"/>
    </row>
    <row r="147" spans="1:8" ht="28">
      <c r="A147" s="449" t="s">
        <v>420</v>
      </c>
      <c r="B147" s="450"/>
      <c r="C147" s="450"/>
      <c r="D147" s="450"/>
      <c r="E147" s="450"/>
      <c r="F147" s="450"/>
      <c r="G147" s="450"/>
      <c r="H147" s="451"/>
    </row>
    <row r="148" spans="1:8">
      <c r="A148" s="452" t="s">
        <v>384</v>
      </c>
      <c r="B148" s="453"/>
      <c r="C148" s="453"/>
      <c r="D148" s="453"/>
      <c r="E148" s="453"/>
      <c r="F148" s="453"/>
      <c r="G148" s="453"/>
      <c r="H148" s="454"/>
    </row>
    <row r="149" spans="1:8" ht="16">
      <c r="A149" s="455" t="s">
        <v>422</v>
      </c>
      <c r="B149" s="460" t="s">
        <v>423</v>
      </c>
      <c r="C149" s="455" t="s">
        <v>435</v>
      </c>
      <c r="D149" s="131" t="s">
        <v>427</v>
      </c>
      <c r="E149" s="135">
        <v>30277.32</v>
      </c>
      <c r="F149" s="455" t="s">
        <v>301</v>
      </c>
      <c r="G149" s="131" t="s">
        <v>425</v>
      </c>
      <c r="H149" s="136">
        <v>0</v>
      </c>
    </row>
    <row r="150" spans="1:8" ht="16">
      <c r="A150" s="455"/>
      <c r="B150" s="461"/>
      <c r="C150" s="455"/>
      <c r="D150" s="131" t="s">
        <v>424</v>
      </c>
      <c r="E150" s="135">
        <v>65046.12</v>
      </c>
      <c r="F150" s="455"/>
      <c r="G150" s="131"/>
      <c r="H150" s="136"/>
    </row>
    <row r="151" spans="1:8" ht="16">
      <c r="A151" s="455"/>
      <c r="B151" s="461"/>
      <c r="C151" s="130" t="s">
        <v>438</v>
      </c>
      <c r="D151" s="131" t="s">
        <v>283</v>
      </c>
      <c r="E151" s="135">
        <v>32000</v>
      </c>
      <c r="F151" s="455"/>
      <c r="G151" s="131"/>
      <c r="H151" s="136"/>
    </row>
    <row r="152" spans="1:8" ht="16">
      <c r="A152" s="455"/>
      <c r="B152" s="462"/>
      <c r="C152" s="130" t="s">
        <v>432</v>
      </c>
      <c r="D152" s="127" t="s">
        <v>433</v>
      </c>
      <c r="E152" s="135">
        <v>1000</v>
      </c>
      <c r="F152" s="455"/>
      <c r="G152" s="131"/>
      <c r="H152" s="136"/>
    </row>
    <row r="153" spans="1:8">
      <c r="A153" s="455"/>
      <c r="B153" s="455" t="s">
        <v>303</v>
      </c>
      <c r="C153" s="455"/>
      <c r="D153" s="455"/>
      <c r="E153" s="137">
        <f>SUM(E149:E152)</f>
        <v>128323.44</v>
      </c>
      <c r="F153" s="455"/>
      <c r="G153" s="131"/>
      <c r="H153" s="136"/>
    </row>
    <row r="154" spans="1:8" ht="16">
      <c r="A154" s="455"/>
      <c r="B154" s="460" t="s">
        <v>434</v>
      </c>
      <c r="C154" s="455" t="s">
        <v>435</v>
      </c>
      <c r="D154" s="132" t="s">
        <v>436</v>
      </c>
      <c r="E154" s="135">
        <v>21525.31</v>
      </c>
      <c r="F154" s="455"/>
      <c r="G154" s="131"/>
      <c r="H154" s="136"/>
    </row>
    <row r="155" spans="1:8" ht="16">
      <c r="A155" s="455"/>
      <c r="B155" s="461"/>
      <c r="C155" s="455"/>
      <c r="D155" s="132" t="s">
        <v>286</v>
      </c>
      <c r="E155" s="135">
        <v>53262.43</v>
      </c>
      <c r="F155" s="455"/>
      <c r="G155" s="131"/>
      <c r="H155" s="136"/>
    </row>
    <row r="156" spans="1:8" ht="16">
      <c r="A156" s="455"/>
      <c r="B156" s="461"/>
      <c r="C156" s="455"/>
      <c r="D156" s="132" t="s">
        <v>437</v>
      </c>
      <c r="E156" s="135">
        <v>17739.93</v>
      </c>
      <c r="F156" s="455"/>
      <c r="G156" s="131"/>
      <c r="H156" s="136"/>
    </row>
    <row r="157" spans="1:8" ht="16">
      <c r="A157" s="455"/>
      <c r="B157" s="461"/>
      <c r="C157" s="455"/>
      <c r="D157" s="132" t="s">
        <v>288</v>
      </c>
      <c r="E157" s="135">
        <v>42063.68</v>
      </c>
      <c r="F157" s="455"/>
      <c r="G157" s="131"/>
      <c r="H157" s="136"/>
    </row>
    <row r="158" spans="1:8" ht="16">
      <c r="A158" s="455"/>
      <c r="B158" s="461"/>
      <c r="C158" s="460" t="s">
        <v>438</v>
      </c>
      <c r="D158" s="132" t="s">
        <v>436</v>
      </c>
      <c r="E158" s="135">
        <v>98473.19</v>
      </c>
      <c r="F158" s="455"/>
      <c r="G158" s="131"/>
      <c r="H158" s="136"/>
    </row>
    <row r="159" spans="1:8" ht="16">
      <c r="A159" s="455"/>
      <c r="B159" s="461"/>
      <c r="C159" s="461"/>
      <c r="D159" s="127" t="s">
        <v>439</v>
      </c>
      <c r="E159" s="135">
        <v>1025.71</v>
      </c>
      <c r="F159" s="455"/>
      <c r="G159" s="131"/>
      <c r="H159" s="136"/>
    </row>
    <row r="160" spans="1:8" ht="16">
      <c r="A160" s="455"/>
      <c r="B160" s="461"/>
      <c r="C160" s="462"/>
      <c r="D160" s="132" t="s">
        <v>291</v>
      </c>
      <c r="E160" s="135">
        <v>116675.61</v>
      </c>
      <c r="F160" s="455"/>
      <c r="G160" s="131"/>
      <c r="H160" s="136"/>
    </row>
    <row r="161" spans="1:8" ht="16">
      <c r="A161" s="455"/>
      <c r="B161" s="461"/>
      <c r="C161" s="455" t="s">
        <v>440</v>
      </c>
      <c r="D161" s="132" t="s">
        <v>292</v>
      </c>
      <c r="E161" s="135">
        <v>4195.92</v>
      </c>
      <c r="F161" s="455"/>
      <c r="G161" s="131"/>
      <c r="H161" s="136"/>
    </row>
    <row r="162" spans="1:8" ht="16">
      <c r="A162" s="455"/>
      <c r="B162" s="461"/>
      <c r="C162" s="455"/>
      <c r="D162" s="132" t="s">
        <v>293</v>
      </c>
      <c r="E162" s="135">
        <v>28061.89</v>
      </c>
      <c r="F162" s="455"/>
      <c r="G162" s="131"/>
      <c r="H162" s="136"/>
    </row>
    <row r="163" spans="1:8" ht="16">
      <c r="A163" s="455"/>
      <c r="B163" s="461"/>
      <c r="C163" s="130" t="s">
        <v>441</v>
      </c>
      <c r="D163" s="132" t="s">
        <v>294</v>
      </c>
      <c r="E163" s="135">
        <v>42814.61</v>
      </c>
      <c r="F163" s="455"/>
      <c r="G163" s="131"/>
      <c r="H163" s="136"/>
    </row>
    <row r="164" spans="1:8" ht="16">
      <c r="A164" s="455"/>
      <c r="B164" s="461"/>
      <c r="C164" s="130" t="s">
        <v>442</v>
      </c>
      <c r="D164" s="132" t="s">
        <v>295</v>
      </c>
      <c r="E164" s="135">
        <v>45230.99</v>
      </c>
      <c r="F164" s="455"/>
      <c r="G164" s="131"/>
      <c r="H164" s="136"/>
    </row>
    <row r="165" spans="1:8">
      <c r="A165" s="455"/>
      <c r="B165" s="462"/>
      <c r="C165" s="130"/>
      <c r="D165" s="132"/>
      <c r="E165" s="137"/>
      <c r="F165" s="455"/>
      <c r="G165" s="131"/>
      <c r="H165" s="136"/>
    </row>
    <row r="166" spans="1:8">
      <c r="A166" s="455"/>
      <c r="B166" s="455" t="s">
        <v>303</v>
      </c>
      <c r="C166" s="455"/>
      <c r="D166" s="455"/>
      <c r="E166" s="138">
        <f>SUM(E154:E165)</f>
        <v>471069.26999999996</v>
      </c>
      <c r="F166" s="455"/>
      <c r="G166" s="131"/>
      <c r="H166" s="136"/>
    </row>
    <row r="167" spans="1:8">
      <c r="A167" s="455" t="s">
        <v>443</v>
      </c>
      <c r="B167" s="455"/>
      <c r="C167" s="455"/>
      <c r="D167" s="455"/>
      <c r="E167" s="138">
        <f>E166+E153</f>
        <v>599392.71</v>
      </c>
      <c r="F167" s="455" t="s">
        <v>444</v>
      </c>
      <c r="G167" s="455"/>
      <c r="H167" s="139">
        <f>SUM(H149:H166)</f>
        <v>0</v>
      </c>
    </row>
    <row r="168" spans="1:8">
      <c r="A168" s="456" t="s">
        <v>445</v>
      </c>
      <c r="B168" s="457"/>
      <c r="C168" s="457"/>
      <c r="D168" s="457"/>
      <c r="E168" s="458"/>
      <c r="F168" s="459">
        <f>E167-H167</f>
        <v>599392.71</v>
      </c>
      <c r="G168" s="455"/>
      <c r="H168" s="455"/>
    </row>
    <row r="169" spans="1:8" s="9" customFormat="1">
      <c r="A169" s="133"/>
      <c r="B169" s="134"/>
      <c r="C169" s="134"/>
      <c r="D169" s="134"/>
      <c r="E169" s="134"/>
      <c r="F169" s="142"/>
      <c r="G169" s="134"/>
      <c r="H169" s="140"/>
    </row>
    <row r="170" spans="1:8" ht="51" customHeight="1">
      <c r="A170" s="449" t="s">
        <v>420</v>
      </c>
      <c r="B170" s="450"/>
      <c r="C170" s="450"/>
      <c r="D170" s="450"/>
      <c r="E170" s="450"/>
      <c r="F170" s="450"/>
      <c r="G170" s="450"/>
      <c r="H170" s="451"/>
    </row>
    <row r="171" spans="1:8" ht="20" customHeight="1">
      <c r="A171" s="452" t="s">
        <v>450</v>
      </c>
      <c r="B171" s="453"/>
      <c r="C171" s="453"/>
      <c r="D171" s="453"/>
      <c r="E171" s="453"/>
      <c r="F171" s="453"/>
      <c r="G171" s="453"/>
      <c r="H171" s="454"/>
    </row>
    <row r="172" spans="1:8" ht="17" customHeight="1">
      <c r="A172" s="455" t="s">
        <v>422</v>
      </c>
      <c r="B172" s="460" t="s">
        <v>423</v>
      </c>
      <c r="C172" s="455" t="s">
        <v>435</v>
      </c>
      <c r="D172" s="131" t="s">
        <v>427</v>
      </c>
      <c r="E172" s="135">
        <v>3777.11</v>
      </c>
      <c r="F172" s="455" t="s">
        <v>301</v>
      </c>
      <c r="G172" s="131" t="s">
        <v>425</v>
      </c>
      <c r="H172" s="136">
        <v>0</v>
      </c>
    </row>
    <row r="173" spans="1:8" ht="16">
      <c r="A173" s="455"/>
      <c r="B173" s="461"/>
      <c r="C173" s="455"/>
      <c r="D173" s="131" t="s">
        <v>424</v>
      </c>
      <c r="E173" s="135">
        <v>39843.93</v>
      </c>
      <c r="F173" s="455"/>
      <c r="G173" s="131"/>
      <c r="H173" s="136"/>
    </row>
    <row r="174" spans="1:8" ht="16">
      <c r="A174" s="455"/>
      <c r="B174" s="461"/>
      <c r="C174" s="130" t="s">
        <v>438</v>
      </c>
      <c r="D174" s="131" t="s">
        <v>283</v>
      </c>
      <c r="E174" s="135">
        <v>32000</v>
      </c>
      <c r="F174" s="455"/>
      <c r="G174" s="131"/>
      <c r="H174" s="136"/>
    </row>
    <row r="175" spans="1:8" ht="16">
      <c r="A175" s="455"/>
      <c r="B175" s="462"/>
      <c r="C175" s="130" t="s">
        <v>432</v>
      </c>
      <c r="D175" s="127" t="s">
        <v>433</v>
      </c>
      <c r="E175" s="135">
        <v>3755.68</v>
      </c>
      <c r="F175" s="455"/>
      <c r="G175" s="131"/>
      <c r="H175" s="136"/>
    </row>
    <row r="176" spans="1:8">
      <c r="A176" s="455"/>
      <c r="B176" s="455" t="s">
        <v>303</v>
      </c>
      <c r="C176" s="455"/>
      <c r="D176" s="455"/>
      <c r="E176" s="137">
        <f>SUM(E172:E175)</f>
        <v>79376.72</v>
      </c>
      <c r="F176" s="455"/>
      <c r="G176" s="131"/>
      <c r="H176" s="136"/>
    </row>
    <row r="177" spans="1:8" ht="16">
      <c r="A177" s="455"/>
      <c r="B177" s="460" t="s">
        <v>434</v>
      </c>
      <c r="C177" s="455" t="s">
        <v>435</v>
      </c>
      <c r="D177" s="132" t="s">
        <v>436</v>
      </c>
      <c r="E177" s="135">
        <v>11170.32</v>
      </c>
      <c r="F177" s="455"/>
      <c r="G177" s="131"/>
      <c r="H177" s="136"/>
    </row>
    <row r="178" spans="1:8" ht="16">
      <c r="A178" s="455"/>
      <c r="B178" s="461"/>
      <c r="C178" s="455"/>
      <c r="D178" s="132" t="s">
        <v>286</v>
      </c>
      <c r="E178" s="135">
        <v>54143.8</v>
      </c>
      <c r="F178" s="455"/>
      <c r="G178" s="131"/>
      <c r="H178" s="136"/>
    </row>
    <row r="179" spans="1:8" ht="16">
      <c r="A179" s="455"/>
      <c r="B179" s="461"/>
      <c r="C179" s="455"/>
      <c r="D179" s="132" t="s">
        <v>437</v>
      </c>
      <c r="E179" s="135">
        <v>17511.68</v>
      </c>
      <c r="F179" s="455"/>
      <c r="G179" s="131"/>
      <c r="H179" s="136"/>
    </row>
    <row r="180" spans="1:8" ht="16">
      <c r="A180" s="455"/>
      <c r="B180" s="461"/>
      <c r="C180" s="455"/>
      <c r="D180" s="132" t="s">
        <v>288</v>
      </c>
      <c r="E180" s="135">
        <v>43185.440000000002</v>
      </c>
      <c r="F180" s="455"/>
      <c r="G180" s="131"/>
      <c r="H180" s="136"/>
    </row>
    <row r="181" spans="1:8" ht="16">
      <c r="A181" s="455"/>
      <c r="B181" s="461"/>
      <c r="C181" s="460" t="s">
        <v>438</v>
      </c>
      <c r="D181" s="132" t="s">
        <v>436</v>
      </c>
      <c r="E181" s="135">
        <v>85972.84</v>
      </c>
      <c r="F181" s="455"/>
      <c r="G181" s="131"/>
      <c r="H181" s="136"/>
    </row>
    <row r="182" spans="1:8" ht="16">
      <c r="A182" s="455"/>
      <c r="B182" s="461"/>
      <c r="C182" s="461"/>
      <c r="D182" s="127" t="s">
        <v>439</v>
      </c>
      <c r="E182" s="135">
        <v>1018.13</v>
      </c>
      <c r="F182" s="455"/>
      <c r="G182" s="131"/>
      <c r="H182" s="136"/>
    </row>
    <row r="183" spans="1:8" ht="16">
      <c r="A183" s="455"/>
      <c r="B183" s="461"/>
      <c r="C183" s="462"/>
      <c r="D183" s="132" t="s">
        <v>291</v>
      </c>
      <c r="E183" s="135">
        <v>118704.79</v>
      </c>
      <c r="F183" s="455"/>
      <c r="G183" s="131"/>
      <c r="H183" s="136"/>
    </row>
    <row r="184" spans="1:8" ht="16">
      <c r="A184" s="455"/>
      <c r="B184" s="461"/>
      <c r="C184" s="455" t="s">
        <v>440</v>
      </c>
      <c r="D184" s="132" t="s">
        <v>292</v>
      </c>
      <c r="E184" s="135">
        <v>4247.5200000000004</v>
      </c>
      <c r="F184" s="455"/>
      <c r="G184" s="131"/>
      <c r="H184" s="136"/>
    </row>
    <row r="185" spans="1:8" ht="16">
      <c r="A185" s="455"/>
      <c r="B185" s="461"/>
      <c r="C185" s="455"/>
      <c r="D185" s="132" t="s">
        <v>293</v>
      </c>
      <c r="E185" s="135">
        <v>3052.32</v>
      </c>
      <c r="F185" s="455"/>
      <c r="G185" s="131"/>
      <c r="H185" s="136"/>
    </row>
    <row r="186" spans="1:8" ht="16">
      <c r="A186" s="455"/>
      <c r="B186" s="461"/>
      <c r="C186" s="130" t="s">
        <v>441</v>
      </c>
      <c r="D186" s="132" t="s">
        <v>294</v>
      </c>
      <c r="E186" s="135">
        <v>42936.84</v>
      </c>
      <c r="F186" s="455"/>
      <c r="G186" s="131"/>
      <c r="H186" s="136"/>
    </row>
    <row r="187" spans="1:8" ht="16">
      <c r="A187" s="455"/>
      <c r="B187" s="461"/>
      <c r="C187" s="130" t="s">
        <v>442</v>
      </c>
      <c r="D187" s="132" t="s">
        <v>295</v>
      </c>
      <c r="E187" s="135">
        <v>45604.04</v>
      </c>
      <c r="F187" s="455"/>
      <c r="G187" s="131"/>
      <c r="H187" s="136"/>
    </row>
    <row r="188" spans="1:8">
      <c r="A188" s="455"/>
      <c r="B188" s="462"/>
      <c r="C188" s="130"/>
      <c r="D188" s="132"/>
      <c r="E188" s="137"/>
      <c r="F188" s="455"/>
      <c r="G188" s="131"/>
      <c r="H188" s="136"/>
    </row>
    <row r="189" spans="1:8">
      <c r="A189" s="455"/>
      <c r="B189" s="455" t="s">
        <v>303</v>
      </c>
      <c r="C189" s="455"/>
      <c r="D189" s="455"/>
      <c r="E189" s="138">
        <f>SUM(E177:E188)</f>
        <v>427547.72000000003</v>
      </c>
      <c r="F189" s="455"/>
      <c r="G189" s="131"/>
      <c r="H189" s="136"/>
    </row>
    <row r="190" spans="1:8">
      <c r="A190" s="455" t="s">
        <v>443</v>
      </c>
      <c r="B190" s="455"/>
      <c r="C190" s="455"/>
      <c r="D190" s="455"/>
      <c r="E190" s="138">
        <f>E189+E176</f>
        <v>506924.44000000006</v>
      </c>
      <c r="F190" s="455" t="s">
        <v>444</v>
      </c>
      <c r="G190" s="455"/>
      <c r="H190" s="139">
        <f>SUM(H172:H189)</f>
        <v>0</v>
      </c>
    </row>
    <row r="191" spans="1:8" ht="15" customHeight="1">
      <c r="A191" s="456" t="s">
        <v>445</v>
      </c>
      <c r="B191" s="457"/>
      <c r="C191" s="457"/>
      <c r="D191" s="457"/>
      <c r="E191" s="458"/>
      <c r="F191" s="459">
        <f>E190-H190</f>
        <v>506924.44000000006</v>
      </c>
      <c r="G191" s="455"/>
      <c r="H191" s="455"/>
    </row>
    <row r="192" spans="1:8" ht="15" customHeight="1">
      <c r="A192" s="141"/>
      <c r="B192" s="141"/>
      <c r="C192" s="141"/>
      <c r="D192" s="141"/>
      <c r="E192" s="141"/>
      <c r="F192" s="143"/>
      <c r="G192" s="141"/>
      <c r="H192" s="141"/>
    </row>
    <row r="193" spans="1:8" ht="42" customHeight="1">
      <c r="A193" s="449" t="s">
        <v>451</v>
      </c>
      <c r="B193" s="450"/>
      <c r="C193" s="450"/>
      <c r="D193" s="450"/>
      <c r="E193" s="450"/>
      <c r="F193" s="450"/>
      <c r="G193" s="450"/>
      <c r="H193" s="451"/>
    </row>
    <row r="194" spans="1:8" ht="15" customHeight="1">
      <c r="A194" s="452" t="s">
        <v>452</v>
      </c>
      <c r="B194" s="453"/>
      <c r="C194" s="453"/>
      <c r="D194" s="453"/>
      <c r="E194" s="453"/>
      <c r="F194" s="453"/>
      <c r="G194" s="453"/>
      <c r="H194" s="454"/>
    </row>
    <row r="195" spans="1:8" ht="15" customHeight="1">
      <c r="A195" s="455" t="s">
        <v>422</v>
      </c>
      <c r="B195" s="460" t="s">
        <v>423</v>
      </c>
      <c r="C195" s="455" t="s">
        <v>435</v>
      </c>
      <c r="D195" s="131" t="s">
        <v>427</v>
      </c>
      <c r="E195" s="135">
        <v>7990.85</v>
      </c>
      <c r="F195" s="455" t="s">
        <v>301</v>
      </c>
      <c r="G195" s="131" t="s">
        <v>425</v>
      </c>
      <c r="H195" s="136">
        <v>0</v>
      </c>
    </row>
    <row r="196" spans="1:8" ht="15" customHeight="1">
      <c r="A196" s="455"/>
      <c r="B196" s="461"/>
      <c r="C196" s="455"/>
      <c r="D196" s="131" t="s">
        <v>424</v>
      </c>
      <c r="E196" s="135">
        <v>39688.42</v>
      </c>
      <c r="F196" s="455"/>
      <c r="G196" s="131" t="s">
        <v>453</v>
      </c>
      <c r="H196" s="136">
        <v>0</v>
      </c>
    </row>
    <row r="197" spans="1:8" ht="15" customHeight="1">
      <c r="A197" s="455"/>
      <c r="B197" s="461"/>
      <c r="C197" s="130" t="s">
        <v>438</v>
      </c>
      <c r="D197" s="131" t="s">
        <v>283</v>
      </c>
      <c r="E197" s="135">
        <v>32000</v>
      </c>
      <c r="F197" s="455"/>
      <c r="G197" s="131"/>
      <c r="H197" s="136"/>
    </row>
    <row r="198" spans="1:8" ht="15" customHeight="1">
      <c r="A198" s="455"/>
      <c r="B198" s="462"/>
      <c r="C198" s="130" t="s">
        <v>432</v>
      </c>
      <c r="D198" s="127" t="s">
        <v>433</v>
      </c>
      <c r="E198" s="135">
        <v>1000.95</v>
      </c>
      <c r="F198" s="455"/>
      <c r="G198" s="131"/>
      <c r="H198" s="136"/>
    </row>
    <row r="199" spans="1:8" ht="15" customHeight="1">
      <c r="A199" s="455"/>
      <c r="B199" s="455" t="s">
        <v>303</v>
      </c>
      <c r="C199" s="455"/>
      <c r="D199" s="455"/>
      <c r="E199" s="137">
        <f>SUM(E195:E198)</f>
        <v>80680.219999999987</v>
      </c>
      <c r="F199" s="455"/>
      <c r="G199" s="131"/>
      <c r="H199" s="136"/>
    </row>
    <row r="200" spans="1:8" ht="15" customHeight="1">
      <c r="A200" s="455"/>
      <c r="B200" s="460" t="s">
        <v>434</v>
      </c>
      <c r="C200" s="455" t="s">
        <v>435</v>
      </c>
      <c r="D200" s="132" t="s">
        <v>436</v>
      </c>
      <c r="E200" s="135">
        <v>10823.19</v>
      </c>
      <c r="F200" s="455"/>
      <c r="G200" s="131"/>
      <c r="H200" s="136"/>
    </row>
    <row r="201" spans="1:8" ht="15" customHeight="1">
      <c r="A201" s="455"/>
      <c r="B201" s="461"/>
      <c r="C201" s="455"/>
      <c r="D201" s="132" t="s">
        <v>286</v>
      </c>
      <c r="E201" s="135">
        <v>53745.88</v>
      </c>
      <c r="F201" s="455"/>
      <c r="G201" s="131"/>
      <c r="H201" s="136"/>
    </row>
    <row r="202" spans="1:8" ht="15" customHeight="1">
      <c r="A202" s="455"/>
      <c r="B202" s="461"/>
      <c r="C202" s="455"/>
      <c r="D202" s="132" t="s">
        <v>437</v>
      </c>
      <c r="E202" s="135">
        <v>18381.05</v>
      </c>
      <c r="F202" s="455"/>
      <c r="G202" s="131"/>
      <c r="H202" s="136"/>
    </row>
    <row r="203" spans="1:8" ht="15" customHeight="1">
      <c r="A203" s="455"/>
      <c r="B203" s="461"/>
      <c r="C203" s="455"/>
      <c r="D203" s="132" t="s">
        <v>288</v>
      </c>
      <c r="E203" s="135">
        <v>35802.230000000003</v>
      </c>
      <c r="F203" s="455"/>
      <c r="G203" s="131"/>
      <c r="H203" s="136"/>
    </row>
    <row r="204" spans="1:8" ht="15" customHeight="1">
      <c r="A204" s="455"/>
      <c r="B204" s="461"/>
      <c r="C204" s="460" t="s">
        <v>438</v>
      </c>
      <c r="D204" s="132" t="s">
        <v>436</v>
      </c>
      <c r="E204" s="135">
        <v>68767.86</v>
      </c>
      <c r="F204" s="455"/>
      <c r="G204" s="131"/>
      <c r="H204" s="136"/>
    </row>
    <row r="205" spans="1:8" ht="15" customHeight="1">
      <c r="A205" s="455"/>
      <c r="B205" s="461"/>
      <c r="C205" s="461"/>
      <c r="D205" s="127" t="s">
        <v>439</v>
      </c>
      <c r="E205" s="135">
        <v>1010.01</v>
      </c>
      <c r="F205" s="455"/>
      <c r="G205" s="131"/>
      <c r="H205" s="136"/>
    </row>
    <row r="206" spans="1:8" ht="15" customHeight="1">
      <c r="A206" s="455"/>
      <c r="B206" s="461"/>
      <c r="C206" s="462"/>
      <c r="D206" s="132" t="s">
        <v>291</v>
      </c>
      <c r="E206" s="135">
        <v>119708.59</v>
      </c>
      <c r="F206" s="455"/>
      <c r="G206" s="131"/>
      <c r="H206" s="136"/>
    </row>
    <row r="207" spans="1:8" ht="15" customHeight="1">
      <c r="A207" s="455"/>
      <c r="B207" s="461"/>
      <c r="C207" s="455" t="s">
        <v>440</v>
      </c>
      <c r="D207" s="132" t="s">
        <v>292</v>
      </c>
      <c r="E207" s="135">
        <v>4260.25</v>
      </c>
      <c r="F207" s="455"/>
      <c r="G207" s="131"/>
      <c r="H207" s="136"/>
    </row>
    <row r="208" spans="1:8" ht="15" customHeight="1">
      <c r="A208" s="455"/>
      <c r="B208" s="461"/>
      <c r="C208" s="455"/>
      <c r="D208" s="132" t="s">
        <v>293</v>
      </c>
      <c r="E208" s="135">
        <v>3041.63</v>
      </c>
      <c r="F208" s="455"/>
      <c r="G208" s="131"/>
      <c r="H208" s="136"/>
    </row>
    <row r="209" spans="1:8" ht="15" customHeight="1">
      <c r="A209" s="455"/>
      <c r="B209" s="461"/>
      <c r="C209" s="130" t="s">
        <v>441</v>
      </c>
      <c r="D209" s="132" t="s">
        <v>294</v>
      </c>
      <c r="E209" s="135">
        <v>32244.5</v>
      </c>
      <c r="F209" s="455"/>
      <c r="G209" s="131"/>
      <c r="H209" s="136"/>
    </row>
    <row r="210" spans="1:8" ht="15" customHeight="1">
      <c r="A210" s="455"/>
      <c r="B210" s="461"/>
      <c r="C210" s="130" t="s">
        <v>442</v>
      </c>
      <c r="D210" s="132" t="s">
        <v>295</v>
      </c>
      <c r="E210" s="135">
        <v>39784.519999999997</v>
      </c>
      <c r="F210" s="455"/>
      <c r="G210" s="131"/>
      <c r="H210" s="136"/>
    </row>
    <row r="211" spans="1:8" ht="15" customHeight="1">
      <c r="A211" s="455"/>
      <c r="B211" s="462"/>
      <c r="C211" s="130"/>
      <c r="D211" s="132"/>
      <c r="E211" s="137"/>
      <c r="F211" s="455"/>
      <c r="G211" s="131"/>
      <c r="H211" s="136"/>
    </row>
    <row r="212" spans="1:8" ht="15" customHeight="1">
      <c r="A212" s="455"/>
      <c r="B212" s="455" t="s">
        <v>303</v>
      </c>
      <c r="C212" s="455"/>
      <c r="D212" s="455"/>
      <c r="E212" s="138">
        <f>SUM(E200:E211)</f>
        <v>387569.71000000008</v>
      </c>
      <c r="F212" s="455"/>
      <c r="G212" s="131"/>
      <c r="H212" s="136"/>
    </row>
    <row r="213" spans="1:8" ht="15" customHeight="1">
      <c r="A213" s="455" t="s">
        <v>443</v>
      </c>
      <c r="B213" s="455"/>
      <c r="C213" s="455"/>
      <c r="D213" s="455"/>
      <c r="E213" s="138">
        <f>E212+E199</f>
        <v>468249.93000000005</v>
      </c>
      <c r="F213" s="455" t="s">
        <v>444</v>
      </c>
      <c r="G213" s="455"/>
      <c r="H213" s="139">
        <f>SUM(H195:H212)</f>
        <v>0</v>
      </c>
    </row>
    <row r="214" spans="1:8" ht="15" customHeight="1">
      <c r="A214" s="456" t="s">
        <v>445</v>
      </c>
      <c r="B214" s="457"/>
      <c r="C214" s="457"/>
      <c r="D214" s="457"/>
      <c r="E214" s="458"/>
      <c r="F214" s="459">
        <f>E213-H213</f>
        <v>468249.93000000005</v>
      </c>
      <c r="G214" s="455"/>
      <c r="H214" s="455"/>
    </row>
    <row r="216" spans="1:8" ht="28">
      <c r="A216" s="449" t="s">
        <v>454</v>
      </c>
      <c r="B216" s="450"/>
      <c r="C216" s="450"/>
      <c r="D216" s="450"/>
      <c r="E216" s="450"/>
      <c r="F216" s="450"/>
      <c r="G216" s="450"/>
      <c r="H216" s="451"/>
    </row>
    <row r="217" spans="1:8">
      <c r="A217" s="452" t="s">
        <v>455</v>
      </c>
      <c r="B217" s="453"/>
      <c r="C217" s="453"/>
      <c r="D217" s="453"/>
      <c r="E217" s="453"/>
      <c r="F217" s="453"/>
      <c r="G217" s="453"/>
      <c r="H217" s="454"/>
    </row>
    <row r="218" spans="1:8" ht="16">
      <c r="A218" s="455" t="s">
        <v>422</v>
      </c>
      <c r="B218" s="460" t="s">
        <v>423</v>
      </c>
      <c r="C218" s="455" t="s">
        <v>435</v>
      </c>
      <c r="D218" s="131" t="s">
        <v>427</v>
      </c>
      <c r="E218" s="135">
        <f>17250.32-10500</f>
        <v>6750.32</v>
      </c>
      <c r="F218" s="455" t="s">
        <v>301</v>
      </c>
      <c r="G218" s="131" t="s">
        <v>425</v>
      </c>
      <c r="H218" s="136">
        <v>0</v>
      </c>
    </row>
    <row r="219" spans="1:8" ht="16">
      <c r="A219" s="455"/>
      <c r="B219" s="461"/>
      <c r="C219" s="455"/>
      <c r="D219" s="131" t="s">
        <v>424</v>
      </c>
      <c r="E219" s="135">
        <v>29580.560000000001</v>
      </c>
      <c r="F219" s="455"/>
      <c r="G219" s="131" t="s">
        <v>453</v>
      </c>
      <c r="H219" s="136">
        <v>0</v>
      </c>
    </row>
    <row r="220" spans="1:8" ht="16">
      <c r="A220" s="455"/>
      <c r="B220" s="461"/>
      <c r="C220" s="130" t="s">
        <v>438</v>
      </c>
      <c r="D220" s="131" t="s">
        <v>283</v>
      </c>
      <c r="E220" s="135">
        <v>32000</v>
      </c>
      <c r="F220" s="455"/>
      <c r="G220" s="131"/>
      <c r="H220" s="136"/>
    </row>
    <row r="221" spans="1:8" ht="16">
      <c r="A221" s="455"/>
      <c r="B221" s="462"/>
      <c r="C221" s="130" t="s">
        <v>432</v>
      </c>
      <c r="D221" s="127" t="s">
        <v>433</v>
      </c>
      <c r="E221" s="135">
        <v>1000</v>
      </c>
      <c r="F221" s="455"/>
      <c r="G221" s="131"/>
      <c r="H221" s="136"/>
    </row>
    <row r="222" spans="1:8">
      <c r="A222" s="455"/>
      <c r="B222" s="455" t="s">
        <v>303</v>
      </c>
      <c r="C222" s="455"/>
      <c r="D222" s="455"/>
      <c r="E222" s="137">
        <f>SUM(E218:E221)</f>
        <v>69330.880000000005</v>
      </c>
      <c r="F222" s="455"/>
      <c r="G222" s="131"/>
      <c r="H222" s="136"/>
    </row>
    <row r="223" spans="1:8" ht="16">
      <c r="A223" s="455"/>
      <c r="B223" s="460" t="s">
        <v>434</v>
      </c>
      <c r="C223" s="455" t="s">
        <v>435</v>
      </c>
      <c r="D223" s="132" t="s">
        <v>436</v>
      </c>
      <c r="E223" s="135">
        <v>11039.26</v>
      </c>
      <c r="F223" s="455"/>
      <c r="G223" s="131"/>
      <c r="H223" s="136"/>
    </row>
    <row r="224" spans="1:8" ht="16">
      <c r="A224" s="455"/>
      <c r="B224" s="461"/>
      <c r="C224" s="455"/>
      <c r="D224" s="132" t="s">
        <v>286</v>
      </c>
      <c r="E224" s="135">
        <v>53406.38</v>
      </c>
      <c r="F224" s="455"/>
      <c r="G224" s="131"/>
      <c r="H224" s="136"/>
    </row>
    <row r="225" spans="1:8" ht="16">
      <c r="A225" s="455"/>
      <c r="B225" s="461"/>
      <c r="C225" s="455"/>
      <c r="D225" s="132" t="s">
        <v>437</v>
      </c>
      <c r="E225" s="135">
        <v>32145.48</v>
      </c>
      <c r="F225" s="455"/>
      <c r="G225" s="131"/>
      <c r="H225" s="136"/>
    </row>
    <row r="226" spans="1:8" ht="16">
      <c r="A226" s="455"/>
      <c r="B226" s="461"/>
      <c r="C226" s="455"/>
      <c r="D226" s="132" t="s">
        <v>288</v>
      </c>
      <c r="E226" s="135">
        <v>35346.230000000003</v>
      </c>
      <c r="F226" s="455"/>
      <c r="G226" s="131"/>
      <c r="H226" s="136"/>
    </row>
    <row r="227" spans="1:8" ht="16">
      <c r="A227" s="455"/>
      <c r="B227" s="461"/>
      <c r="C227" s="460" t="s">
        <v>438</v>
      </c>
      <c r="D227" s="132" t="s">
        <v>436</v>
      </c>
      <c r="E227" s="135">
        <v>56893.62</v>
      </c>
      <c r="F227" s="455"/>
      <c r="G227" s="131"/>
      <c r="H227" s="136"/>
    </row>
    <row r="228" spans="1:8" ht="16">
      <c r="A228" s="455"/>
      <c r="B228" s="461"/>
      <c r="C228" s="461"/>
      <c r="D228" s="127" t="s">
        <v>439</v>
      </c>
      <c r="E228" s="135">
        <v>1003.51</v>
      </c>
      <c r="F228" s="455"/>
      <c r="G228" s="131"/>
      <c r="H228" s="136"/>
    </row>
    <row r="229" spans="1:8" ht="16">
      <c r="A229" s="455"/>
      <c r="B229" s="461"/>
      <c r="C229" s="462"/>
      <c r="D229" s="132" t="s">
        <v>291</v>
      </c>
      <c r="E229" s="135">
        <v>118023.03999999999</v>
      </c>
      <c r="F229" s="455"/>
      <c r="G229" s="131"/>
      <c r="H229" s="136"/>
    </row>
    <row r="230" spans="1:8" ht="16">
      <c r="A230" s="455"/>
      <c r="B230" s="461"/>
      <c r="C230" s="455" t="s">
        <v>440</v>
      </c>
      <c r="D230" s="132" t="s">
        <v>292</v>
      </c>
      <c r="E230" s="135">
        <v>4196.6400000000003</v>
      </c>
      <c r="F230" s="455"/>
      <c r="G230" s="131"/>
      <c r="H230" s="136"/>
    </row>
    <row r="231" spans="1:8" ht="16">
      <c r="A231" s="455"/>
      <c r="B231" s="461"/>
      <c r="C231" s="455"/>
      <c r="D231" s="132" t="s">
        <v>293</v>
      </c>
      <c r="E231" s="135">
        <v>3032.63</v>
      </c>
      <c r="F231" s="455"/>
      <c r="G231" s="131"/>
      <c r="H231" s="136"/>
    </row>
    <row r="232" spans="1:8" ht="16">
      <c r="A232" s="455"/>
      <c r="B232" s="461"/>
      <c r="C232" s="130" t="s">
        <v>441</v>
      </c>
      <c r="D232" s="132" t="s">
        <v>294</v>
      </c>
      <c r="E232" s="135">
        <v>21861.13</v>
      </c>
      <c r="F232" s="455"/>
      <c r="G232" s="131"/>
      <c r="H232" s="136"/>
    </row>
    <row r="233" spans="1:8" ht="16">
      <c r="A233" s="455"/>
      <c r="B233" s="461"/>
      <c r="C233" s="130" t="s">
        <v>442</v>
      </c>
      <c r="D233" s="132" t="s">
        <v>295</v>
      </c>
      <c r="E233" s="135">
        <v>29398.98</v>
      </c>
      <c r="F233" s="455"/>
      <c r="G233" s="131"/>
      <c r="H233" s="136"/>
    </row>
    <row r="234" spans="1:8">
      <c r="A234" s="455"/>
      <c r="B234" s="462"/>
      <c r="C234" s="130"/>
      <c r="D234" s="132"/>
      <c r="E234" s="137"/>
      <c r="F234" s="455"/>
      <c r="G234" s="131"/>
      <c r="H234" s="136"/>
    </row>
    <row r="235" spans="1:8">
      <c r="A235" s="455"/>
      <c r="B235" s="455" t="s">
        <v>303</v>
      </c>
      <c r="C235" s="455"/>
      <c r="D235" s="455"/>
      <c r="E235" s="138">
        <f>SUM(E223:E234)</f>
        <v>366346.9</v>
      </c>
      <c r="F235" s="455"/>
      <c r="G235" s="131"/>
      <c r="H235" s="136"/>
    </row>
    <row r="236" spans="1:8">
      <c r="A236" s="455" t="s">
        <v>443</v>
      </c>
      <c r="B236" s="455"/>
      <c r="C236" s="455"/>
      <c r="D236" s="455"/>
      <c r="E236" s="138">
        <f>E235+E222</f>
        <v>435677.78</v>
      </c>
      <c r="F236" s="455" t="s">
        <v>444</v>
      </c>
      <c r="G236" s="455"/>
      <c r="H236" s="139">
        <f>SUM(H218:H235)</f>
        <v>0</v>
      </c>
    </row>
    <row r="237" spans="1:8">
      <c r="A237" s="456" t="s">
        <v>445</v>
      </c>
      <c r="B237" s="457"/>
      <c r="C237" s="457"/>
      <c r="D237" s="457"/>
      <c r="E237" s="458"/>
      <c r="F237" s="459">
        <f>E236-H236</f>
        <v>435677.78</v>
      </c>
      <c r="G237" s="455"/>
      <c r="H237" s="455"/>
    </row>
  </sheetData>
  <mergeCells count="160">
    <mergeCell ref="C218:C219"/>
    <mergeCell ref="C223:C226"/>
    <mergeCell ref="C227:C229"/>
    <mergeCell ref="C230:C231"/>
    <mergeCell ref="F3:F22"/>
    <mergeCell ref="F29:F47"/>
    <mergeCell ref="F53:F70"/>
    <mergeCell ref="F76:F93"/>
    <mergeCell ref="F101:F118"/>
    <mergeCell ref="F125:F142"/>
    <mergeCell ref="F149:F166"/>
    <mergeCell ref="F172:F189"/>
    <mergeCell ref="F195:F212"/>
    <mergeCell ref="F218:F235"/>
    <mergeCell ref="B222:D222"/>
    <mergeCell ref="B235:D235"/>
    <mergeCell ref="B212:D212"/>
    <mergeCell ref="A213:D213"/>
    <mergeCell ref="F213:G213"/>
    <mergeCell ref="A214:E214"/>
    <mergeCell ref="F214:H214"/>
    <mergeCell ref="A216:H216"/>
    <mergeCell ref="A217:H217"/>
    <mergeCell ref="B195:B198"/>
    <mergeCell ref="B218:B221"/>
    <mergeCell ref="B223:B234"/>
    <mergeCell ref="C3:C4"/>
    <mergeCell ref="C10:C13"/>
    <mergeCell ref="C14:C16"/>
    <mergeCell ref="C17:C18"/>
    <mergeCell ref="C29:C30"/>
    <mergeCell ref="C35:C38"/>
    <mergeCell ref="C39:C41"/>
    <mergeCell ref="C42:C43"/>
    <mergeCell ref="C53:C54"/>
    <mergeCell ref="C58:C61"/>
    <mergeCell ref="C62:C64"/>
    <mergeCell ref="C65:C66"/>
    <mergeCell ref="C76:C77"/>
    <mergeCell ref="C81:C84"/>
    <mergeCell ref="C85:C87"/>
    <mergeCell ref="C88:C89"/>
    <mergeCell ref="C101:C102"/>
    <mergeCell ref="C106:C109"/>
    <mergeCell ref="C110:C112"/>
    <mergeCell ref="C113:C114"/>
    <mergeCell ref="C125:C126"/>
    <mergeCell ref="C130:C133"/>
    <mergeCell ref="A236:D236"/>
    <mergeCell ref="F236:G236"/>
    <mergeCell ref="A237:E237"/>
    <mergeCell ref="F237:H237"/>
    <mergeCell ref="A3:A22"/>
    <mergeCell ref="A29:A47"/>
    <mergeCell ref="A53:A70"/>
    <mergeCell ref="A76:A93"/>
    <mergeCell ref="A101:A118"/>
    <mergeCell ref="A125:A142"/>
    <mergeCell ref="A149:A166"/>
    <mergeCell ref="A172:A189"/>
    <mergeCell ref="A195:A212"/>
    <mergeCell ref="A218:A235"/>
    <mergeCell ref="B3:B8"/>
    <mergeCell ref="B10:B21"/>
    <mergeCell ref="B29:B33"/>
    <mergeCell ref="B35:B46"/>
    <mergeCell ref="B53:B56"/>
    <mergeCell ref="B58:B69"/>
    <mergeCell ref="B76:B79"/>
    <mergeCell ref="B81:B92"/>
    <mergeCell ref="A194:H194"/>
    <mergeCell ref="B199:D199"/>
    <mergeCell ref="B200:B211"/>
    <mergeCell ref="C195:C196"/>
    <mergeCell ref="C200:C203"/>
    <mergeCell ref="C204:C206"/>
    <mergeCell ref="C207:C208"/>
    <mergeCell ref="A170:H170"/>
    <mergeCell ref="A171:H171"/>
    <mergeCell ref="B176:D176"/>
    <mergeCell ref="B189:D189"/>
    <mergeCell ref="A190:D190"/>
    <mergeCell ref="F190:G190"/>
    <mergeCell ref="A191:E191"/>
    <mergeCell ref="F191:H191"/>
    <mergeCell ref="A193:H193"/>
    <mergeCell ref="B172:B175"/>
    <mergeCell ref="B177:B188"/>
    <mergeCell ref="C172:C173"/>
    <mergeCell ref="C177:C180"/>
    <mergeCell ref="C181:C183"/>
    <mergeCell ref="C184:C185"/>
    <mergeCell ref="A144:E144"/>
    <mergeCell ref="F144:H144"/>
    <mergeCell ref="A147:H147"/>
    <mergeCell ref="A148:H148"/>
    <mergeCell ref="B153:D153"/>
    <mergeCell ref="B166:D166"/>
    <mergeCell ref="A167:D167"/>
    <mergeCell ref="F167:G167"/>
    <mergeCell ref="A168:E168"/>
    <mergeCell ref="F168:H168"/>
    <mergeCell ref="B149:B152"/>
    <mergeCell ref="B154:B165"/>
    <mergeCell ref="C149:C150"/>
    <mergeCell ref="C154:C157"/>
    <mergeCell ref="C158:C160"/>
    <mergeCell ref="C161:C162"/>
    <mergeCell ref="A119:D119"/>
    <mergeCell ref="F119:G119"/>
    <mergeCell ref="A120:E120"/>
    <mergeCell ref="F120:H120"/>
    <mergeCell ref="A123:H123"/>
    <mergeCell ref="A124:H124"/>
    <mergeCell ref="B129:D129"/>
    <mergeCell ref="B142:D142"/>
    <mergeCell ref="A143:D143"/>
    <mergeCell ref="F143:G143"/>
    <mergeCell ref="B125:B128"/>
    <mergeCell ref="B130:B141"/>
    <mergeCell ref="C134:C136"/>
    <mergeCell ref="C137:C138"/>
    <mergeCell ref="B93:D93"/>
    <mergeCell ref="A94:D94"/>
    <mergeCell ref="F94:G94"/>
    <mergeCell ref="A95:E95"/>
    <mergeCell ref="F95:H95"/>
    <mergeCell ref="A99:H99"/>
    <mergeCell ref="A100:H100"/>
    <mergeCell ref="B105:D105"/>
    <mergeCell ref="B118:D118"/>
    <mergeCell ref="B101:B104"/>
    <mergeCell ref="B106:B117"/>
    <mergeCell ref="B57:D57"/>
    <mergeCell ref="B70:D70"/>
    <mergeCell ref="A71:D71"/>
    <mergeCell ref="F71:G71"/>
    <mergeCell ref="A72:E72"/>
    <mergeCell ref="F72:H72"/>
    <mergeCell ref="A74:H74"/>
    <mergeCell ref="A75:H75"/>
    <mergeCell ref="B80:D80"/>
    <mergeCell ref="A28:H28"/>
    <mergeCell ref="B34:D34"/>
    <mergeCell ref="B47:D47"/>
    <mergeCell ref="A48:D48"/>
    <mergeCell ref="F48:G48"/>
    <mergeCell ref="A49:E49"/>
    <mergeCell ref="F49:H49"/>
    <mergeCell ref="A51:H51"/>
    <mergeCell ref="A52:H52"/>
    <mergeCell ref="A1:H1"/>
    <mergeCell ref="A2:H2"/>
    <mergeCell ref="B9:D9"/>
    <mergeCell ref="B22:D22"/>
    <mergeCell ref="A23:D23"/>
    <mergeCell ref="F23:G23"/>
    <mergeCell ref="A24:E24"/>
    <mergeCell ref="F24:H24"/>
    <mergeCell ref="A27:H27"/>
  </mergeCells>
  <phoneticPr fontId="30" type="noConversion"/>
  <pageMargins left="0.75" right="0.75" top="1" bottom="1" header="0.51180555555555596" footer="0.511805555555555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97"/>
  <sheetViews>
    <sheetView showGridLines="0" workbookViewId="0">
      <selection sqref="A1:XFD1048576"/>
    </sheetView>
  </sheetViews>
  <sheetFormatPr baseColWidth="10" defaultColWidth="20.83203125" defaultRowHeight="20" customHeight="1"/>
  <cols>
    <col min="1" max="1" width="14.6640625" style="81" customWidth="1"/>
    <col min="2" max="2" width="16.1640625" style="83" customWidth="1"/>
    <col min="3" max="3" width="16.83203125" style="83" customWidth="1"/>
    <col min="4" max="4" width="17.6640625" style="83" customWidth="1"/>
    <col min="5" max="5" width="17" style="83" customWidth="1"/>
    <col min="6" max="6" width="18.33203125" style="83" customWidth="1"/>
    <col min="7" max="7" width="17.6640625" style="83" customWidth="1"/>
    <col min="8" max="8" width="17.83203125" style="83" customWidth="1"/>
    <col min="9" max="9" width="104" style="84" customWidth="1"/>
    <col min="10" max="16384" width="20.83203125" style="80"/>
  </cols>
  <sheetData>
    <row r="1" spans="1:9" ht="20" customHeight="1">
      <c r="A1" s="85"/>
      <c r="B1" s="86" t="s">
        <v>0</v>
      </c>
      <c r="C1" s="86" t="s">
        <v>1</v>
      </c>
      <c r="D1" s="86" t="s">
        <v>2</v>
      </c>
      <c r="E1" s="86" t="s">
        <v>3</v>
      </c>
      <c r="F1" s="86" t="s">
        <v>4</v>
      </c>
      <c r="G1" s="86" t="s">
        <v>5</v>
      </c>
      <c r="H1" s="86" t="s">
        <v>6</v>
      </c>
      <c r="I1" s="110"/>
    </row>
    <row r="2" spans="1:9" s="81" customFormat="1" ht="20" customHeight="1">
      <c r="A2" s="87"/>
      <c r="B2" s="88"/>
      <c r="C2" s="88"/>
      <c r="D2" s="88"/>
      <c r="E2" s="88"/>
      <c r="F2" s="88"/>
      <c r="G2" s="88"/>
      <c r="H2" s="88"/>
      <c r="I2" s="111" t="s">
        <v>7</v>
      </c>
    </row>
    <row r="3" spans="1:9" ht="20" customHeight="1">
      <c r="A3" s="87" t="s">
        <v>8</v>
      </c>
      <c r="B3" s="89"/>
      <c r="C3" s="89"/>
      <c r="D3" s="88"/>
      <c r="E3" s="88"/>
      <c r="F3" s="94"/>
      <c r="G3" s="94"/>
      <c r="H3" s="94"/>
      <c r="I3" s="112"/>
    </row>
    <row r="4" spans="1:9" ht="20" customHeight="1">
      <c r="A4" s="87" t="s">
        <v>11</v>
      </c>
      <c r="B4" s="89"/>
      <c r="C4" s="89"/>
      <c r="D4" s="88"/>
      <c r="E4" s="88"/>
      <c r="F4" s="94"/>
      <c r="G4" s="94"/>
      <c r="H4" s="94"/>
      <c r="I4" s="112"/>
    </row>
    <row r="5" spans="1:9" ht="20" customHeight="1">
      <c r="A5" s="87"/>
      <c r="B5" s="89"/>
      <c r="C5" s="89"/>
      <c r="D5" s="88"/>
      <c r="E5" s="88"/>
      <c r="F5" s="94"/>
      <c r="G5" s="94"/>
      <c r="H5" s="94"/>
      <c r="I5" s="112"/>
    </row>
    <row r="6" spans="1:9" ht="20" customHeight="1">
      <c r="A6" s="87" t="s">
        <v>13</v>
      </c>
      <c r="B6" s="89"/>
      <c r="C6" s="89"/>
      <c r="D6" s="88"/>
      <c r="E6" s="88"/>
      <c r="F6" s="94"/>
      <c r="G6" s="94"/>
      <c r="H6" s="94"/>
      <c r="I6" s="112"/>
    </row>
    <row r="7" spans="1:9" ht="20" customHeight="1">
      <c r="A7" s="87"/>
      <c r="B7" s="89"/>
      <c r="C7" s="89"/>
      <c r="D7" s="88"/>
      <c r="E7" s="88"/>
      <c r="F7" s="94"/>
      <c r="G7" s="94"/>
      <c r="H7" s="94"/>
      <c r="I7" s="112"/>
    </row>
    <row r="8" spans="1:9" ht="20" customHeight="1">
      <c r="A8" s="87" t="s">
        <v>14</v>
      </c>
      <c r="B8" s="89"/>
      <c r="C8" s="89"/>
      <c r="D8" s="88"/>
      <c r="E8" s="88"/>
      <c r="F8" s="94"/>
      <c r="G8" s="94"/>
      <c r="H8" s="94"/>
      <c r="I8" s="112"/>
    </row>
    <row r="9" spans="1:9" ht="20" customHeight="1">
      <c r="A9" s="87"/>
      <c r="B9" s="89"/>
      <c r="C9" s="89"/>
      <c r="D9" s="88"/>
      <c r="E9" s="94"/>
      <c r="F9" s="94"/>
      <c r="G9" s="94"/>
      <c r="H9" s="94"/>
      <c r="I9" s="111" t="s">
        <v>17</v>
      </c>
    </row>
    <row r="10" spans="1:9" ht="20" customHeight="1">
      <c r="A10" s="87" t="s">
        <v>18</v>
      </c>
      <c r="B10" s="89"/>
      <c r="C10" s="89"/>
      <c r="D10" s="88"/>
      <c r="E10" s="94"/>
      <c r="F10" s="94"/>
      <c r="G10" s="94"/>
      <c r="H10" s="94"/>
      <c r="I10" s="112"/>
    </row>
    <row r="11" spans="1:9" ht="20" customHeight="1">
      <c r="A11" s="87"/>
      <c r="B11" s="88"/>
      <c r="C11" s="88"/>
      <c r="D11" s="88"/>
      <c r="E11" s="94"/>
      <c r="F11" s="94"/>
      <c r="G11" s="94"/>
      <c r="H11" s="94"/>
      <c r="I11" s="113"/>
    </row>
    <row r="12" spans="1:9" ht="20" customHeight="1">
      <c r="A12" s="87" t="s">
        <v>23</v>
      </c>
      <c r="B12" s="88"/>
      <c r="C12" s="88"/>
      <c r="D12" s="88"/>
      <c r="E12" s="94"/>
      <c r="F12" s="94"/>
      <c r="G12" s="94"/>
      <c r="H12" s="94"/>
      <c r="I12" s="112"/>
    </row>
    <row r="13" spans="1:9" ht="20" customHeight="1">
      <c r="A13" s="87"/>
      <c r="B13" s="89"/>
      <c r="C13" s="89"/>
      <c r="D13" s="88"/>
      <c r="E13" s="94"/>
      <c r="F13" s="94"/>
      <c r="G13" s="94"/>
      <c r="H13" s="94"/>
      <c r="I13" s="112"/>
    </row>
    <row r="14" spans="1:9" ht="20" customHeight="1">
      <c r="A14" s="87" t="s">
        <v>28</v>
      </c>
      <c r="B14" s="89"/>
      <c r="C14" s="89"/>
      <c r="D14" s="88"/>
      <c r="E14" s="94"/>
      <c r="F14" s="94"/>
      <c r="G14" s="94"/>
      <c r="H14" s="94"/>
      <c r="I14" s="111" t="s">
        <v>29</v>
      </c>
    </row>
    <row r="15" spans="1:9" ht="20" customHeight="1">
      <c r="A15" s="87"/>
      <c r="B15" s="89"/>
      <c r="C15" s="89"/>
      <c r="D15" s="88"/>
      <c r="E15" s="94"/>
      <c r="F15" s="94"/>
      <c r="G15" s="94"/>
      <c r="H15" s="94"/>
      <c r="I15" s="114"/>
    </row>
    <row r="16" spans="1:9" ht="20" customHeight="1">
      <c r="A16" s="87" t="s">
        <v>31</v>
      </c>
      <c r="B16" s="89"/>
      <c r="C16" s="89"/>
      <c r="D16" s="88"/>
      <c r="E16" s="94"/>
      <c r="F16" s="94"/>
      <c r="G16" s="94"/>
      <c r="H16" s="94"/>
      <c r="I16" s="113"/>
    </row>
    <row r="17" spans="1:9" ht="20" customHeight="1">
      <c r="A17" s="87"/>
      <c r="B17" s="89"/>
      <c r="C17" s="89"/>
      <c r="D17" s="88"/>
      <c r="E17" s="94"/>
      <c r="F17" s="94"/>
      <c r="G17" s="94"/>
      <c r="H17" s="94"/>
      <c r="I17" s="112"/>
    </row>
    <row r="18" spans="1:9" ht="20" customHeight="1">
      <c r="A18" s="91" t="s">
        <v>34</v>
      </c>
      <c r="B18" s="88"/>
      <c r="C18" s="89"/>
      <c r="D18" s="88"/>
      <c r="E18" s="94"/>
      <c r="F18" s="94"/>
      <c r="G18" s="94"/>
      <c r="H18" s="94"/>
      <c r="I18" s="112"/>
    </row>
    <row r="19" spans="1:9" ht="20" customHeight="1">
      <c r="A19" s="87"/>
      <c r="B19" s="89"/>
      <c r="C19" s="89"/>
      <c r="D19" s="88"/>
      <c r="E19" s="88"/>
      <c r="F19" s="94"/>
      <c r="G19" s="94"/>
      <c r="H19" s="94"/>
      <c r="I19" s="114"/>
    </row>
    <row r="20" spans="1:9" ht="20" customHeight="1">
      <c r="A20" s="87" t="s">
        <v>37</v>
      </c>
      <c r="B20" s="89"/>
      <c r="C20" s="89"/>
      <c r="D20" s="88"/>
      <c r="E20" s="88"/>
      <c r="F20" s="94"/>
      <c r="G20" s="94"/>
      <c r="H20" s="94"/>
      <c r="I20" s="114"/>
    </row>
    <row r="21" spans="1:9" ht="20" customHeight="1">
      <c r="A21" s="87"/>
      <c r="B21" s="89"/>
      <c r="C21" s="89"/>
      <c r="D21" s="93"/>
      <c r="E21" s="93"/>
      <c r="F21" s="94"/>
      <c r="G21" s="94"/>
      <c r="H21" s="94"/>
      <c r="I21" s="112"/>
    </row>
    <row r="22" spans="1:9" ht="20" customHeight="1">
      <c r="A22" s="87" t="s">
        <v>40</v>
      </c>
      <c r="B22" s="89"/>
      <c r="C22" s="93"/>
      <c r="D22" s="94"/>
      <c r="E22" s="94"/>
      <c r="F22" s="94"/>
      <c r="G22" s="94"/>
      <c r="H22" s="94"/>
      <c r="I22" s="111" t="s">
        <v>42</v>
      </c>
    </row>
    <row r="23" spans="1:9" ht="20" customHeight="1">
      <c r="A23" s="87"/>
      <c r="B23" s="89"/>
      <c r="C23" s="93"/>
      <c r="D23" s="94"/>
      <c r="E23" s="94"/>
      <c r="F23" s="94"/>
      <c r="G23" s="94"/>
      <c r="H23" s="94"/>
      <c r="I23" s="112"/>
    </row>
    <row r="24" spans="1:9" ht="20" customHeight="1">
      <c r="A24" s="87" t="s">
        <v>44</v>
      </c>
      <c r="B24" s="89"/>
      <c r="C24" s="89"/>
      <c r="D24" s="94"/>
      <c r="E24" s="94"/>
      <c r="F24" s="94"/>
      <c r="G24" s="94"/>
      <c r="H24" s="94"/>
      <c r="I24" s="112"/>
    </row>
    <row r="25" spans="1:9" ht="20" customHeight="1">
      <c r="A25" s="87"/>
      <c r="B25" s="89"/>
      <c r="C25" s="89"/>
      <c r="D25" s="94"/>
      <c r="E25" s="94"/>
      <c r="F25" s="94"/>
      <c r="G25" s="94"/>
      <c r="H25" s="94"/>
      <c r="I25" s="112"/>
    </row>
    <row r="26" spans="1:9" ht="20" customHeight="1">
      <c r="A26" s="87" t="s">
        <v>45</v>
      </c>
      <c r="B26" s="89"/>
      <c r="C26" s="89"/>
      <c r="D26" s="94"/>
      <c r="E26" s="94"/>
      <c r="F26" s="94"/>
      <c r="G26" s="94"/>
      <c r="H26" s="94"/>
      <c r="I26" s="114"/>
    </row>
    <row r="27" spans="1:9" ht="20" customHeight="1">
      <c r="A27" s="87"/>
      <c r="B27" s="89"/>
      <c r="C27" s="89"/>
      <c r="D27" s="94"/>
      <c r="E27" s="94"/>
      <c r="F27" s="94"/>
      <c r="G27" s="94"/>
      <c r="H27" s="94"/>
      <c r="I27" s="112"/>
    </row>
    <row r="28" spans="1:9" ht="20" customHeight="1">
      <c r="A28" s="87" t="s">
        <v>46</v>
      </c>
      <c r="B28" s="89"/>
      <c r="C28" s="89"/>
      <c r="D28" s="94"/>
      <c r="E28" s="94"/>
      <c r="F28" s="94"/>
      <c r="G28" s="94"/>
      <c r="H28" s="94"/>
      <c r="I28" s="112"/>
    </row>
    <row r="29" spans="1:9" ht="20" customHeight="1">
      <c r="A29" s="87"/>
      <c r="B29" s="89"/>
      <c r="C29" s="89"/>
      <c r="D29" s="94"/>
      <c r="E29" s="94"/>
      <c r="F29" s="94"/>
      <c r="G29" s="94"/>
      <c r="H29" s="94"/>
      <c r="I29" s="112"/>
    </row>
    <row r="30" spans="1:9" ht="20" customHeight="1">
      <c r="A30" s="87" t="s">
        <v>47</v>
      </c>
      <c r="B30" s="88"/>
      <c r="C30" s="89"/>
      <c r="D30" s="94"/>
      <c r="E30" s="94"/>
      <c r="F30" s="94"/>
      <c r="G30" s="94"/>
      <c r="H30" s="94"/>
      <c r="I30" s="115"/>
    </row>
    <row r="31" spans="1:9" ht="20" customHeight="1">
      <c r="A31" s="91"/>
      <c r="B31" s="89"/>
      <c r="C31" s="89"/>
      <c r="D31" s="94"/>
      <c r="E31" s="94"/>
      <c r="F31" s="94"/>
      <c r="G31" s="94"/>
      <c r="H31" s="94"/>
      <c r="I31" s="115"/>
    </row>
    <row r="32" spans="1:9" ht="20" customHeight="1">
      <c r="A32" s="87" t="s">
        <v>50</v>
      </c>
      <c r="B32" s="89"/>
      <c r="C32" s="89"/>
      <c r="D32" s="94"/>
      <c r="E32" s="94"/>
      <c r="F32" s="94"/>
      <c r="G32" s="94"/>
      <c r="H32" s="94"/>
      <c r="I32" s="115"/>
    </row>
    <row r="33" spans="1:9" ht="20" customHeight="1">
      <c r="A33" s="87"/>
      <c r="B33" s="89"/>
      <c r="C33" s="89"/>
      <c r="D33" s="94"/>
      <c r="E33" s="94"/>
      <c r="F33" s="94"/>
      <c r="G33" s="94"/>
      <c r="H33" s="94"/>
      <c r="I33" s="115"/>
    </row>
    <row r="34" spans="1:9" ht="20" customHeight="1">
      <c r="A34" s="87" t="s">
        <v>53</v>
      </c>
      <c r="B34" s="89"/>
      <c r="C34" s="93"/>
      <c r="D34" s="94"/>
      <c r="E34" s="94"/>
      <c r="F34" s="94"/>
      <c r="G34" s="94"/>
      <c r="H34" s="94"/>
      <c r="I34" s="115"/>
    </row>
    <row r="35" spans="1:9" ht="20" customHeight="1">
      <c r="A35" s="87"/>
      <c r="B35" s="89"/>
      <c r="C35" s="89"/>
      <c r="D35" s="94"/>
      <c r="E35" s="94"/>
      <c r="F35" s="94"/>
      <c r="G35" s="94"/>
      <c r="H35" s="94"/>
      <c r="I35" s="111" t="s">
        <v>54</v>
      </c>
    </row>
    <row r="36" spans="1:9" ht="20" customHeight="1">
      <c r="A36" s="87" t="s">
        <v>55</v>
      </c>
      <c r="B36" s="95"/>
      <c r="C36" s="89"/>
      <c r="D36" s="94"/>
      <c r="E36" s="94"/>
      <c r="F36" s="94"/>
      <c r="G36" s="94"/>
      <c r="H36" s="94"/>
      <c r="I36" s="113"/>
    </row>
    <row r="37" spans="1:9" ht="20" customHeight="1">
      <c r="A37" s="87"/>
      <c r="B37" s="95"/>
      <c r="C37" s="89"/>
      <c r="D37" s="94"/>
      <c r="E37" s="94"/>
      <c r="F37" s="94"/>
      <c r="G37" s="94"/>
      <c r="H37" s="94"/>
      <c r="I37" s="112"/>
    </row>
    <row r="38" spans="1:9" ht="20" customHeight="1">
      <c r="A38" s="87" t="s">
        <v>56</v>
      </c>
      <c r="B38" s="95"/>
      <c r="C38" s="89"/>
      <c r="D38" s="94"/>
      <c r="E38" s="94"/>
      <c r="F38" s="94"/>
      <c r="G38" s="94"/>
      <c r="H38" s="94"/>
      <c r="I38" s="114"/>
    </row>
    <row r="39" spans="1:9" ht="20" customHeight="1">
      <c r="A39" s="87"/>
      <c r="B39" s="95"/>
      <c r="C39" s="89"/>
      <c r="D39" s="94"/>
      <c r="E39" s="94"/>
      <c r="F39" s="94"/>
      <c r="G39" s="94"/>
      <c r="H39" s="94"/>
      <c r="I39" s="111"/>
    </row>
    <row r="40" spans="1:9" ht="20" customHeight="1">
      <c r="A40" s="87" t="s">
        <v>60</v>
      </c>
      <c r="B40" s="88"/>
      <c r="C40" s="89"/>
      <c r="D40" s="94"/>
      <c r="E40" s="94"/>
      <c r="F40" s="94"/>
      <c r="G40" s="94"/>
      <c r="H40" s="94"/>
      <c r="I40" s="113"/>
    </row>
    <row r="41" spans="1:9" ht="20" customHeight="1">
      <c r="A41" s="87"/>
      <c r="B41" s="88"/>
      <c r="C41" s="89"/>
      <c r="D41" s="94"/>
      <c r="E41" s="94"/>
      <c r="F41" s="94"/>
      <c r="G41" s="94"/>
      <c r="H41" s="94"/>
      <c r="I41" s="114"/>
    </row>
    <row r="42" spans="1:9" ht="20" customHeight="1">
      <c r="A42" s="87" t="s">
        <v>62</v>
      </c>
      <c r="B42" s="89"/>
      <c r="C42" s="89"/>
      <c r="D42" s="94"/>
      <c r="E42" s="94"/>
      <c r="F42" s="94"/>
      <c r="G42" s="94"/>
      <c r="H42" s="94"/>
      <c r="I42" s="114"/>
    </row>
    <row r="43" spans="1:9" ht="20" customHeight="1">
      <c r="A43" s="87"/>
      <c r="B43" s="89"/>
      <c r="C43" s="94"/>
      <c r="D43" s="94"/>
      <c r="E43" s="94"/>
      <c r="F43" s="94"/>
      <c r="G43" s="94"/>
      <c r="H43" s="94"/>
      <c r="I43" s="112"/>
    </row>
    <row r="44" spans="1:9" ht="20" customHeight="1">
      <c r="A44" s="87" t="s">
        <v>63</v>
      </c>
      <c r="B44" s="89"/>
      <c r="C44" s="96"/>
      <c r="D44" s="94"/>
      <c r="E44" s="94"/>
      <c r="F44" s="94"/>
      <c r="G44" s="94"/>
      <c r="H44" s="94"/>
      <c r="I44" s="112"/>
    </row>
    <row r="45" spans="1:9" ht="20" customHeight="1">
      <c r="A45" s="87"/>
      <c r="B45" s="89"/>
      <c r="C45" s="96"/>
      <c r="D45" s="94"/>
      <c r="E45" s="94"/>
      <c r="F45" s="94"/>
      <c r="G45" s="94"/>
      <c r="H45" s="94"/>
      <c r="I45" s="112"/>
    </row>
    <row r="46" spans="1:9" ht="20" customHeight="1">
      <c r="A46" s="87" t="s">
        <v>64</v>
      </c>
      <c r="B46" s="89"/>
      <c r="C46" s="96"/>
      <c r="D46" s="94"/>
      <c r="E46" s="94"/>
      <c r="F46" s="94"/>
      <c r="G46" s="94"/>
      <c r="H46" s="94"/>
      <c r="I46" s="111" t="s">
        <v>65</v>
      </c>
    </row>
    <row r="47" spans="1:9" ht="20" customHeight="1">
      <c r="A47" s="87"/>
      <c r="B47" s="89"/>
      <c r="C47" s="94"/>
      <c r="D47" s="94"/>
      <c r="E47" s="94"/>
      <c r="F47" s="94"/>
      <c r="G47" s="94"/>
      <c r="H47" s="94"/>
      <c r="I47" s="116"/>
    </row>
    <row r="48" spans="1:9" ht="20" customHeight="1">
      <c r="A48" s="87" t="s">
        <v>66</v>
      </c>
      <c r="B48" s="89"/>
      <c r="C48" s="94"/>
      <c r="D48" s="94"/>
      <c r="E48" s="94"/>
      <c r="F48" s="94"/>
      <c r="G48" s="94"/>
      <c r="H48" s="94"/>
      <c r="I48" s="114"/>
    </row>
    <row r="49" spans="1:14" ht="20" customHeight="1">
      <c r="A49" s="87"/>
      <c r="B49" s="89"/>
      <c r="C49" s="94"/>
      <c r="D49" s="94"/>
      <c r="E49" s="94"/>
      <c r="F49" s="94"/>
      <c r="G49" s="94"/>
      <c r="H49" s="94"/>
      <c r="I49" s="114"/>
    </row>
    <row r="50" spans="1:14" ht="20" customHeight="1">
      <c r="A50" s="87" t="s">
        <v>67</v>
      </c>
      <c r="B50" s="89"/>
      <c r="C50" s="94"/>
      <c r="D50" s="94"/>
      <c r="E50" s="94"/>
      <c r="F50" s="94"/>
      <c r="G50" s="94"/>
      <c r="H50" s="94"/>
      <c r="I50" s="112"/>
    </row>
    <row r="51" spans="1:14" ht="20" customHeight="1">
      <c r="A51" s="97" t="s">
        <v>68</v>
      </c>
      <c r="B51" s="98">
        <f t="shared" ref="B51:H55" si="0">GetColorCount(B$2:B$50,$A51)*0.5</f>
        <v>0</v>
      </c>
      <c r="C51" s="98">
        <f t="shared" si="0"/>
        <v>0</v>
      </c>
      <c r="D51" s="98">
        <f t="shared" si="0"/>
        <v>0</v>
      </c>
      <c r="E51" s="98">
        <f t="shared" si="0"/>
        <v>0</v>
      </c>
      <c r="F51" s="98">
        <f t="shared" si="0"/>
        <v>0</v>
      </c>
      <c r="G51" s="98">
        <f t="shared" si="0"/>
        <v>0</v>
      </c>
      <c r="H51" s="98">
        <f t="shared" si="0"/>
        <v>0</v>
      </c>
      <c r="I51" s="117" t="s">
        <v>123</v>
      </c>
    </row>
    <row r="52" spans="1:14" ht="20" customHeight="1">
      <c r="A52" s="99" t="s">
        <v>9</v>
      </c>
      <c r="B52" s="98">
        <f t="shared" si="0"/>
        <v>0</v>
      </c>
      <c r="C52" s="98">
        <f t="shared" si="0"/>
        <v>0</v>
      </c>
      <c r="D52" s="98">
        <f t="shared" si="0"/>
        <v>0</v>
      </c>
      <c r="E52" s="98">
        <f t="shared" si="0"/>
        <v>0</v>
      </c>
      <c r="F52" s="98">
        <f t="shared" si="0"/>
        <v>0</v>
      </c>
      <c r="G52" s="98">
        <f t="shared" si="0"/>
        <v>0</v>
      </c>
      <c r="H52" s="98">
        <f t="shared" si="0"/>
        <v>0</v>
      </c>
      <c r="I52" s="118"/>
    </row>
    <row r="53" spans="1:14" ht="20" customHeight="1">
      <c r="A53" s="100" t="s">
        <v>71</v>
      </c>
      <c r="B53" s="98">
        <f t="shared" si="0"/>
        <v>0</v>
      </c>
      <c r="C53" s="98">
        <f t="shared" si="0"/>
        <v>0</v>
      </c>
      <c r="D53" s="98">
        <f t="shared" si="0"/>
        <v>0</v>
      </c>
      <c r="E53" s="98">
        <f t="shared" si="0"/>
        <v>0</v>
      </c>
      <c r="F53" s="98">
        <f t="shared" si="0"/>
        <v>0</v>
      </c>
      <c r="G53" s="98">
        <f t="shared" si="0"/>
        <v>0</v>
      </c>
      <c r="H53" s="98">
        <f t="shared" si="0"/>
        <v>0</v>
      </c>
      <c r="I53" s="110"/>
    </row>
    <row r="54" spans="1:14" ht="20" customHeight="1">
      <c r="A54" s="101" t="s">
        <v>72</v>
      </c>
      <c r="B54" s="98">
        <f t="shared" si="0"/>
        <v>0</v>
      </c>
      <c r="C54" s="98">
        <f t="shared" si="0"/>
        <v>0</v>
      </c>
      <c r="D54" s="98">
        <f t="shared" si="0"/>
        <v>0</v>
      </c>
      <c r="E54" s="98">
        <f t="shared" si="0"/>
        <v>0</v>
      </c>
      <c r="F54" s="98">
        <f t="shared" si="0"/>
        <v>0</v>
      </c>
      <c r="G54" s="98">
        <f t="shared" si="0"/>
        <v>0</v>
      </c>
      <c r="H54" s="98">
        <f t="shared" si="0"/>
        <v>0</v>
      </c>
      <c r="I54" s="119"/>
    </row>
    <row r="55" spans="1:14" ht="20" customHeight="1">
      <c r="A55" s="102" t="s">
        <v>73</v>
      </c>
      <c r="B55" s="98">
        <f t="shared" si="0"/>
        <v>0</v>
      </c>
      <c r="C55" s="98">
        <f t="shared" si="0"/>
        <v>0</v>
      </c>
      <c r="D55" s="98">
        <f t="shared" si="0"/>
        <v>0</v>
      </c>
      <c r="E55" s="98">
        <f t="shared" si="0"/>
        <v>0</v>
      </c>
      <c r="F55" s="98">
        <f t="shared" si="0"/>
        <v>0</v>
      </c>
      <c r="G55" s="98">
        <f t="shared" si="0"/>
        <v>0</v>
      </c>
      <c r="H55" s="98">
        <f t="shared" si="0"/>
        <v>0</v>
      </c>
      <c r="I55" s="119"/>
    </row>
    <row r="56" spans="1:14" s="82" customFormat="1" ht="20" customHeight="1">
      <c r="A56" s="103" t="s">
        <v>74</v>
      </c>
      <c r="B56" s="104">
        <f>SUM(B51:B55)</f>
        <v>0</v>
      </c>
      <c r="C56" s="104">
        <f t="shared" ref="C56:H56" si="1">SUM(C51:C55)</f>
        <v>0</v>
      </c>
      <c r="D56" s="104">
        <f t="shared" si="1"/>
        <v>0</v>
      </c>
      <c r="E56" s="104">
        <f t="shared" si="1"/>
        <v>0</v>
      </c>
      <c r="F56" s="104">
        <f t="shared" si="1"/>
        <v>0</v>
      </c>
      <c r="G56" s="104">
        <f t="shared" si="1"/>
        <v>0</v>
      </c>
      <c r="H56" s="104">
        <f t="shared" si="1"/>
        <v>0</v>
      </c>
      <c r="I56" s="120"/>
    </row>
    <row r="57" spans="1:14" ht="20" customHeight="1">
      <c r="A57" s="311" t="s">
        <v>68</v>
      </c>
      <c r="B57" s="312" t="s">
        <v>9</v>
      </c>
      <c r="C57" s="300" t="s">
        <v>75</v>
      </c>
      <c r="D57" s="307" t="s">
        <v>76</v>
      </c>
      <c r="E57" s="313" t="s">
        <v>77</v>
      </c>
      <c r="F57" s="352" t="s">
        <v>78</v>
      </c>
      <c r="G57" s="109"/>
      <c r="H57" s="109"/>
      <c r="I57" s="117" t="s">
        <v>108</v>
      </c>
    </row>
    <row r="58" spans="1:14" s="81" customFormat="1" ht="20" customHeight="1">
      <c r="A58" s="311"/>
      <c r="B58" s="312"/>
      <c r="C58" s="300"/>
      <c r="D58" s="308"/>
      <c r="E58" s="313"/>
      <c r="F58" s="352"/>
      <c r="G58" s="109"/>
      <c r="H58" s="109"/>
      <c r="I58" s="121"/>
    </row>
    <row r="59" spans="1:14" s="81" customFormat="1" ht="20" customHeight="1">
      <c r="A59" s="311"/>
      <c r="B59" s="312"/>
      <c r="C59" s="300"/>
      <c r="D59" s="308"/>
      <c r="E59" s="313"/>
      <c r="F59" s="352"/>
      <c r="G59" s="109"/>
      <c r="H59" s="109"/>
      <c r="I59" s="95"/>
    </row>
    <row r="60" spans="1:14" s="81" customFormat="1" ht="20" customHeight="1">
      <c r="A60" s="106">
        <f>SUM(B51:H51)</f>
        <v>0</v>
      </c>
      <c r="B60" s="106">
        <f>SUM(B52:H52)</f>
        <v>0</v>
      </c>
      <c r="C60" s="106">
        <f>SUM(B53:H53)</f>
        <v>0</v>
      </c>
      <c r="D60" s="106">
        <f>SUM(B54:H54)</f>
        <v>0</v>
      </c>
      <c r="E60" s="106">
        <f>SUM(B55:H55)</f>
        <v>0</v>
      </c>
      <c r="F60" s="106">
        <f>SUM(B56:H56)</f>
        <v>0</v>
      </c>
      <c r="G60" s="83"/>
      <c r="H60" s="83"/>
      <c r="I60" s="95"/>
    </row>
    <row r="61" spans="1:14" ht="20" customHeight="1">
      <c r="A61" s="107">
        <f>A60/7</f>
        <v>0</v>
      </c>
      <c r="B61" s="107">
        <f>B60/7</f>
        <v>0</v>
      </c>
      <c r="C61" s="107">
        <f>C60/7</f>
        <v>0</v>
      </c>
      <c r="D61" s="107">
        <f>D60/7</f>
        <v>0</v>
      </c>
      <c r="E61" s="106">
        <f>E60/7</f>
        <v>0</v>
      </c>
      <c r="F61" s="107"/>
      <c r="I61" s="122"/>
    </row>
    <row r="62" spans="1:14" ht="20" customHeight="1">
      <c r="I62" s="80"/>
    </row>
    <row r="63" spans="1:14" ht="20" customHeight="1">
      <c r="I63" s="310"/>
      <c r="J63" s="310"/>
      <c r="K63" s="310"/>
      <c r="L63" s="310"/>
      <c r="M63" s="310"/>
      <c r="N63" s="310"/>
    </row>
    <row r="65" spans="6:9" ht="20" customHeight="1">
      <c r="H65" s="123"/>
      <c r="I65" s="126"/>
    </row>
    <row r="66" spans="6:9" ht="20" customHeight="1">
      <c r="H66" s="124"/>
      <c r="I66" s="126"/>
    </row>
    <row r="67" spans="6:9" ht="20" customHeight="1">
      <c r="H67" s="123"/>
      <c r="I67" s="126"/>
    </row>
    <row r="68" spans="6:9" ht="20" customHeight="1">
      <c r="H68" s="123"/>
      <c r="I68" s="126"/>
    </row>
    <row r="69" spans="6:9" ht="20" customHeight="1">
      <c r="H69" s="123"/>
      <c r="I69" s="126"/>
    </row>
    <row r="73" spans="6:9" ht="20" customHeight="1">
      <c r="F73" s="125"/>
    </row>
    <row r="90" spans="9:9" ht="20" customHeight="1">
      <c r="I90" s="80"/>
    </row>
    <row r="91" spans="9:9" ht="20" customHeight="1">
      <c r="I91" s="80"/>
    </row>
    <row r="92" spans="9:9" ht="20" customHeight="1">
      <c r="I92" s="80"/>
    </row>
    <row r="93" spans="9:9" ht="20" customHeight="1">
      <c r="I93" s="80"/>
    </row>
    <row r="94" spans="9:9" ht="20" customHeight="1">
      <c r="I94" s="80"/>
    </row>
    <row r="95" spans="9:9" ht="20" customHeight="1">
      <c r="I95" s="80"/>
    </row>
    <row r="96" spans="9:9" ht="20" customHeight="1">
      <c r="I96" s="80"/>
    </row>
    <row r="97" spans="9:9" ht="20" customHeight="1">
      <c r="I97" s="80"/>
    </row>
  </sheetData>
  <mergeCells count="7">
    <mergeCell ref="I63:N63"/>
    <mergeCell ref="A57:A59"/>
    <mergeCell ref="B57:B59"/>
    <mergeCell ref="C57:C59"/>
    <mergeCell ref="D57:D59"/>
    <mergeCell ref="E57:E59"/>
    <mergeCell ref="F57:F59"/>
  </mergeCells>
  <phoneticPr fontId="30"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13</vt:i4>
      </vt:variant>
    </vt:vector>
  </HeadingPairs>
  <TitlesOfParts>
    <vt:vector size="13" baseType="lpstr">
      <vt:lpstr>1月第1周</vt:lpstr>
      <vt:lpstr>1月第2周</vt:lpstr>
      <vt:lpstr>1月第3周</vt:lpstr>
      <vt:lpstr>1月第4周</vt:lpstr>
      <vt:lpstr>1月源数据</vt:lpstr>
      <vt:lpstr>2月第一周</vt:lpstr>
      <vt:lpstr>2月第2周</vt:lpstr>
      <vt:lpstr>2月第3周</vt:lpstr>
      <vt:lpstr>2月源数据</vt:lpstr>
      <vt:lpstr>理财收益表</vt:lpstr>
      <vt:lpstr>收入支出表</vt:lpstr>
      <vt:lpstr>资产负债表</vt:lpstr>
      <vt:lpstr>模板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kayla</dc:creator>
  <cp:lastModifiedBy>Microsoft Office User</cp:lastModifiedBy>
  <dcterms:created xsi:type="dcterms:W3CDTF">2022-01-04T17:27:00Z</dcterms:created>
  <dcterms:modified xsi:type="dcterms:W3CDTF">2022-02-16T09:55:42Z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2052-1.1.0.1454</vt:lpwstr>
  </property>
</Properties>
</file>