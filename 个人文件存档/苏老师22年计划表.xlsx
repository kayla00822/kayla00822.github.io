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/>
  <mc:AlternateContent xmlns:mc="http://schemas.openxmlformats.org/markup-compatibility/2006">
    <mc:Choice Requires="x15">
      <x15ac:absPath xmlns:x15ac="http://schemas.microsoft.com/office/spreadsheetml/2010/11/ac" url="/Users/apple/Desktop/workspace/files/"/>
    </mc:Choice>
  </mc:AlternateContent>
  <xr:revisionPtr revIDLastSave="0" documentId="13_ncr:1_{A3C37DB7-7AA1-9542-9172-A2BCE149AD5E}" xr6:coauthVersionLast="47" xr6:coauthVersionMax="47" xr10:uidLastSave="{00000000-0000-0000-0000-000000000000}"/>
  <bookViews>
    <workbookView xWindow="0" yWindow="500" windowWidth="33600" windowHeight="18400" xr2:uid="{00000000-000D-0000-FFFF-FFFF00000000}"/>
  </bookViews>
  <sheets>
    <sheet name="计划表" sheetId="1" r:id="rId1"/>
    <sheet name="资产计划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5" i="2" l="1"/>
  <c r="D5" i="2"/>
  <c r="W4" i="2"/>
  <c r="D4" i="2"/>
  <c r="D8" i="2" s="1"/>
  <c r="F8" i="1"/>
  <c r="F10" i="1"/>
  <c r="F9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<sst xmlns="http://schemas.openxmlformats.org/spreadsheetml/2006/main" count="83" uniqueCount="56">
  <si>
    <t>2022年1月计划跟进表</t>
  </si>
  <si>
    <t>序号</t>
  </si>
  <si>
    <t>目标</t>
  </si>
  <si>
    <t>优先级</t>
  </si>
  <si>
    <t>细分目标</t>
  </si>
  <si>
    <t>Deadline</t>
  </si>
  <si>
    <t>总进度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</si>
  <si>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</si>
  <si>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</si>
  <si>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</si>
  <si>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</si>
  <si>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</si>
  <si>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</si>
  <si>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</si>
  <si>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</si>
  <si>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</si>
  <si>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</si>
  <si>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</si>
  <si>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</si>
  <si>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学习</t>
  </si>
  <si>
    <t>★★★</t>
  </si>
  <si>
    <t>Java虚拟机_VM</t>
  </si>
  <si>
    <t>2月底</t>
  </si>
  <si>
    <t>✔️</t>
  </si>
  <si>
    <t>领域驱动</t>
  </si>
  <si>
    <t>3月底</t>
  </si>
  <si>
    <t>Spring开发三剑客</t>
  </si>
  <si>
    <t>5月底</t>
  </si>
  <si>
    <t>RocketMQ</t>
  </si>
  <si>
    <t>7月底</t>
  </si>
  <si>
    <t>华为项目管理&amp;PMP项目管理视频</t>
  </si>
  <si>
    <t>9月底</t>
  </si>
  <si>
    <t>财务</t>
  </si>
  <si>
    <t>个人资产突破80万</t>
  </si>
  <si>
    <t>12月底</t>
  </si>
  <si>
    <t>健康</t>
  </si>
  <si>
    <t>每周保持3+跑步*3km</t>
  </si>
  <si>
    <t>★★</t>
  </si>
  <si>
    <t>软考高级</t>
  </si>
  <si>
    <t>2022年全年费用计划表计划跟进表</t>
  </si>
  <si>
    <t>类型</t>
  </si>
  <si>
    <t>类别</t>
  </si>
  <si>
    <t>细分资金</t>
  </si>
  <si>
    <t>金额（元）</t>
  </si>
  <si>
    <t>固定开支</t>
  </si>
  <si>
    <t>房租费用</t>
  </si>
  <si>
    <t>水电气网络、话费</t>
  </si>
  <si>
    <t>食物</t>
  </si>
  <si>
    <t>日用品</t>
  </si>
  <si>
    <t>弹性支出</t>
  </si>
  <si>
    <t>交际游玩&amp;红包</t>
  </si>
  <si>
    <t>总计</t>
    <phoneticPr fontId="5" type="noConversion"/>
  </si>
  <si>
    <t>✔️</t>
    <phoneticPr fontId="5" type="noConversion"/>
  </si>
  <si>
    <t>×</t>
    <phoneticPr fontId="5" type="noConversion"/>
  </si>
  <si>
    <t>2月</t>
    <phoneticPr fontId="5" type="noConversion"/>
  </si>
  <si>
    <t>1月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</si>
</sst>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_ &quot;￥&quot;* #,##0.00_ ;_ &quot;￥&quot;* \-#,##0.00_ ;_ &quot;￥&quot;* &quot;-&quot;??_ ;_ @_ "/>
    <numFmt numFmtId="178" formatCode="&quot;￥&quot;#,##0.00_);[Red]\(&quot;￥&quot;#,##0.00\)"/>
  </numFmts>
  <fonts count="8">
    <font>
      <sz val="12"/>
      <color theme="1"/>
      <name val="宋体"/>
      <charset val="134"/>
      <scheme val="minor"/>
    </font>
    <font>
      <sz val="14"/>
      <color theme="1"/>
      <name val="华文宋体"/>
      <family val="1"/>
      <charset val="134"/>
    </font>
    <font>
      <b/>
      <sz val="14"/>
      <color theme="1"/>
      <name val="华文宋体"/>
      <family val="1"/>
      <charset val="134"/>
    </font>
    <font>
      <sz val="14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4"/>
      <color theme="1"/>
      <name val="华文宋体"/>
      <family val="1"/>
      <charset val="134"/>
    </font>
    <font>
      <sz val="14"/>
      <color theme="1"/>
      <name val="华文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176" fontId="1" fillId="0" borderId="0" xfId="0" applyNumberFormat="1" applyFont="1" applyFill="1" applyAlignment="1">
      <alignment horizontal="center" vertical="center" wrapText="1"/>
    </xf>
    <xf numFmtId="178" fontId="1" fillId="0" borderId="0" xfId="0" applyNumberFormat="1" applyFont="1" applyFill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78" fontId="1" fillId="0" borderId="0" xfId="0" applyNumberFormat="1" applyFont="1" applyFill="1" applyAlignment="1">
      <alignment vertical="center" wrapText="1"/>
    </xf>
    <xf numFmtId="178" fontId="2" fillId="2" borderId="1" xfId="0" applyNumberFormat="1" applyFont="1" applyFill="1" applyBorder="1" applyAlignment="1">
      <alignment horizontal="center" vertical="center" wrapText="1"/>
    </xf>
    <xf numFmtId="10" fontId="1" fillId="0" borderId="0" xfId="2" applyNumberFormat="1" applyFont="1" applyAlignment="1">
      <alignment horizontal="center" vertical="center" wrapText="1"/>
    </xf>
    <xf numFmtId="10" fontId="2" fillId="2" borderId="1" xfId="2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0" fontId="1" fillId="0" borderId="1" xfId="2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77" fontId="1" fillId="0" borderId="1" xfId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10" fontId="2" fillId="0" borderId="0" xfId="2" applyNumberFormat="1" applyFont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</cellXfs>
  <cellStyles count="3">
    <cellStyle name="百分比" xfId="2" builtinId="5"/>
    <cellStyle name="常规" xfId="0" builtinId="0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K10"/>
  <sheetViews>
    <sheetView showGridLines="0" tabSelected="1" workbookViewId="0">
      <selection activeCell="D12" sqref="D12"/>
    </sheetView>
  </sheetViews>
  <sheetFormatPr baseColWidth="10" defaultColWidth="9.1640625" defaultRowHeight="20" customHeight="1"/>
  <cols>
    <col min="1" max="1" width="9.1640625" style="3"/>
    <col min="2" max="2" width="11.83203125" style="3" customWidth="1"/>
    <col min="3" max="3" width="12.33203125" style="3" customWidth="1"/>
    <col min="4" max="4" width="24.33203125" style="4" customWidth="1"/>
    <col min="5" max="5" width="13" style="5" customWidth="1"/>
    <col min="6" max="6" width="14.5" style="20" customWidth="1"/>
    <col min="7" max="7" width="10.1640625" style="3" customWidth="1"/>
    <col min="8" max="18" width="9.1640625" style="3"/>
    <col min="19" max="19" width="9.1640625" style="3" hidden="1" customWidth="1"/>
    <col min="20" max="16364" width="9.1640625" style="3"/>
    <col min="16365" max="16365" width="9.1640625" style="7"/>
    <col min="16366" max="16384" width="9.1640625" style="8"/>
  </cols>
  <sheetData>
    <row r="1" spans="1:19" s="1" customFormat="1" ht="45" customHeight="1">
      <c r="A1" s="29" t="s">
        <v>0</v>
      </c>
      <c r="B1" s="29"/>
      <c r="C1" s="29"/>
      <c r="D1" s="29"/>
      <c r="E1" s="29"/>
      <c r="F1" s="30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9" s="2" customFormat="1" ht="53" customHeight="1">
      <c r="A2" s="9" t="s">
        <v>1</v>
      </c>
      <c r="B2" s="9" t="s">
        <v>2</v>
      </c>
      <c r="C2" s="9" t="s">
        <v>3</v>
      </c>
      <c r="D2" s="9" t="s">
        <v>4</v>
      </c>
      <c r="E2" s="10" t="s">
        <v>5</v>
      </c>
      <c r="F2" s="21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9" t="s">
        <v>18</v>
      </c>
    </row>
    <row r="3" spans="1:19" s="3" customFormat="1" ht="20" customHeight="1">
      <c r="A3" s="31">
        <v>1</v>
      </c>
      <c r="B3" s="31" t="s">
        <v>19</v>
      </c>
      <c r="C3" s="31" t="s">
        <v>20</v>
      </c>
      <c r="D3" s="13" t="s">
        <v>21</v>
      </c>
      <c r="E3" s="22" t="s">
        <v>22</v>
      </c>
      <c r="F3" s="23">
        <f>COUNTIF(G3:R3,$S$3)/2</f>
        <v>0.5</v>
      </c>
      <c r="G3" s="27" t="s">
        <v>52</v>
      </c>
      <c r="H3" s="24"/>
      <c r="I3" s="17"/>
      <c r="J3" s="17"/>
      <c r="K3" s="17"/>
      <c r="L3" s="17"/>
      <c r="M3" s="17"/>
      <c r="N3" s="17"/>
      <c r="O3" s="17"/>
      <c r="P3" s="17"/>
      <c r="Q3" s="17"/>
      <c r="R3" s="17"/>
      <c r="S3" s="17" t="s">
        <v>23</v>
      </c>
    </row>
    <row r="4" spans="1:19" s="3" customFormat="1" ht="20" customHeight="1">
      <c r="A4" s="32"/>
      <c r="B4" s="32"/>
      <c r="C4" s="32"/>
      <c r="D4" s="13" t="s">
        <v>24</v>
      </c>
      <c r="E4" s="22" t="s">
        <v>25</v>
      </c>
      <c r="F4" s="23">
        <f>COUNTIF(G4:R4,$S$3)</f>
        <v>0</v>
      </c>
      <c r="G4" s="17"/>
      <c r="H4" s="17"/>
      <c r="I4" s="24"/>
      <c r="J4" s="17"/>
      <c r="K4" s="17"/>
      <c r="L4" s="17"/>
      <c r="M4" s="17"/>
      <c r="N4" s="17"/>
      <c r="O4" s="17"/>
      <c r="P4" s="17"/>
      <c r="Q4" s="17"/>
      <c r="R4" s="17"/>
    </row>
    <row r="5" spans="1:19" s="3" customFormat="1" ht="20" customHeight="1">
      <c r="A5" s="32"/>
      <c r="B5" s="32"/>
      <c r="C5" s="32"/>
      <c r="D5" s="13" t="s">
        <v>26</v>
      </c>
      <c r="E5" s="22" t="s">
        <v>27</v>
      </c>
      <c r="F5" s="23">
        <f>COUNTIF(G5:R5,$S$3)/2</f>
        <v>0</v>
      </c>
      <c r="G5" s="17"/>
      <c r="H5" s="17"/>
      <c r="I5" s="17"/>
      <c r="J5" s="24"/>
      <c r="K5" s="24"/>
      <c r="L5" s="17"/>
      <c r="M5" s="17"/>
      <c r="N5" s="17"/>
      <c r="O5" s="17"/>
      <c r="P5" s="17"/>
      <c r="Q5" s="17"/>
      <c r="R5" s="17"/>
    </row>
    <row r="6" spans="1:19" s="3" customFormat="1" ht="20" customHeight="1">
      <c r="A6" s="32"/>
      <c r="B6" s="32"/>
      <c r="C6" s="32"/>
      <c r="D6" s="13" t="s">
        <v>28</v>
      </c>
      <c r="E6" s="3" t="s">
        <v>29</v>
      </c>
      <c r="F6" s="23">
        <f>COUNTIF(G6:R6,$S$3)/2</f>
        <v>0</v>
      </c>
      <c r="G6" s="17"/>
      <c r="H6" s="17"/>
      <c r="I6" s="17"/>
      <c r="J6" s="17"/>
      <c r="K6" s="17"/>
      <c r="L6" s="24"/>
      <c r="M6" s="24"/>
      <c r="N6" s="17"/>
      <c r="O6" s="17"/>
      <c r="P6" s="17"/>
      <c r="Q6" s="17"/>
      <c r="R6" s="17"/>
    </row>
    <row r="7" spans="1:19" s="3" customFormat="1" ht="36" customHeight="1">
      <c r="A7" s="32"/>
      <c r="B7" s="32"/>
      <c r="C7" s="33"/>
      <c r="D7" s="13" t="s">
        <v>30</v>
      </c>
      <c r="E7" s="22" t="s">
        <v>31</v>
      </c>
      <c r="F7" s="23">
        <f>COUNTIF(G7:R7,$S$3)/2</f>
        <v>0</v>
      </c>
      <c r="G7" s="17"/>
      <c r="H7" s="17"/>
      <c r="I7" s="17"/>
      <c r="J7" s="17"/>
      <c r="K7" s="17"/>
      <c r="L7" s="17"/>
      <c r="M7" s="17"/>
      <c r="N7" s="24"/>
      <c r="O7" s="24"/>
      <c r="P7" s="17"/>
      <c r="Q7" s="17"/>
      <c r="R7" s="17"/>
    </row>
    <row r="8" spans="1:19" s="3" customFormat="1" ht="20" customHeight="1">
      <c r="A8" s="33"/>
      <c r="B8" s="33"/>
      <c r="C8" s="12" t="s">
        <v>37</v>
      </c>
      <c r="D8" s="13" t="s">
        <v>38</v>
      </c>
      <c r="E8" s="22" t="s">
        <v>17</v>
      </c>
      <c r="F8" s="23">
        <f>COUNTIF(G8:R8,$S$3)/4</f>
        <v>0</v>
      </c>
      <c r="G8" s="17"/>
      <c r="H8" s="17"/>
      <c r="I8" s="17"/>
      <c r="J8" s="17"/>
      <c r="K8" s="17"/>
      <c r="L8" s="17"/>
      <c r="M8" s="17"/>
      <c r="N8" s="28"/>
      <c r="O8" s="24"/>
      <c r="P8" s="24"/>
      <c r="Q8" s="24"/>
      <c r="R8" s="17"/>
    </row>
    <row r="9" spans="1:19" s="3" customFormat="1" ht="20" customHeight="1">
      <c r="A9" s="11">
        <v>2</v>
      </c>
      <c r="B9" s="16" t="s">
        <v>32</v>
      </c>
      <c r="C9" s="12" t="s">
        <v>20</v>
      </c>
      <c r="D9" s="13" t="s">
        <v>33</v>
      </c>
      <c r="E9" s="22" t="s">
        <v>34</v>
      </c>
      <c r="F9" s="23">
        <f>COUNTIF(G9:R9,$S$3)/12</f>
        <v>0</v>
      </c>
      <c r="G9" s="28" t="s">
        <v>53</v>
      </c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</row>
    <row r="10" spans="1:19" s="3" customFormat="1" ht="20" customHeight="1">
      <c r="A10" s="25">
        <v>3</v>
      </c>
      <c r="B10" s="12" t="s">
        <v>35</v>
      </c>
      <c r="C10" s="12" t="s">
        <v>20</v>
      </c>
      <c r="D10" s="13" t="s">
        <v>36</v>
      </c>
      <c r="E10" s="22" t="s">
        <v>34</v>
      </c>
      <c r="F10" s="23">
        <f>COUNTIF(G10:R10,$S$3)/12</f>
        <v>8.3333333333333329E-2</v>
      </c>
      <c r="G10" s="27" t="s">
        <v>52</v>
      </c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</row>
  </sheetData>
  <mergeCells count="4">
    <mergeCell ref="A1:R1"/>
    <mergeCell ref="C3:C7"/>
    <mergeCell ref="A3:A8"/>
    <mergeCell ref="B3:B8"/>
  </mergeCells>
  <phoneticPr fontId="5" type="noConversion"/>
  <conditionalFormatting sqref="F3:F1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{5674D7D2-06C6-44FB-B039-5B9285E41D9B}</x14:id>
        </ext>
      </extLst>
    </cfRule>
  </conditionalFormatting>
  <pageMargins left="0.75" right="0.75" top="1" bottom="1" header="0.51180555555555596" footer="0.5118055555555559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74D7D2-06C6-44FB-B039-5B9285E41D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F3:F10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B8"/>
  <sheetViews>
    <sheetView showGridLines="0" workbookViewId="0">
      <selection activeCell="H14" sqref="H14"/>
    </sheetView>
  </sheetViews>
  <sheetFormatPr baseColWidth="10" defaultColWidth="9.1640625" defaultRowHeight="20" customHeight="1"/>
  <cols>
    <col min="1" max="1" width="9.1640625" style="3"/>
    <col min="2" max="2" width="11.83203125" style="3" customWidth="1"/>
    <col min="3" max="3" width="24.33203125" style="4" customWidth="1"/>
    <col min="4" max="4" width="13" style="5" customWidth="1"/>
    <col min="5" max="5" width="10.1640625" style="3" customWidth="1"/>
    <col min="6" max="16" width="9.1640625" style="3"/>
    <col min="17" max="17" width="9.1640625" style="3" hidden="1" customWidth="1"/>
    <col min="18" max="19" width="9.1640625" style="3"/>
    <col min="20" max="20" width="9.33203125" style="3" customWidth="1"/>
    <col min="21" max="21" width="16.33203125" style="3" customWidth="1"/>
    <col min="22" max="22" width="22.6640625" style="3" customWidth="1"/>
    <col min="23" max="23" width="28.33203125" style="6" customWidth="1"/>
    <col min="24" max="16362" width="9.1640625" style="3"/>
    <col min="16363" max="16363" width="9.1640625" style="7"/>
    <col min="16364" max="16382" width="9.1640625" style="8"/>
  </cols>
  <sheetData>
    <row r="1" spans="1:23" s="1" customFormat="1" ht="45" customHeight="1">
      <c r="A1" s="29" t="s">
        <v>39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W1" s="18"/>
    </row>
    <row r="2" spans="1:23" s="2" customFormat="1" ht="53" customHeight="1">
      <c r="A2" s="9" t="s">
        <v>1</v>
      </c>
      <c r="B2" s="9" t="s">
        <v>40</v>
      </c>
      <c r="C2" s="9" t="s">
        <v>4</v>
      </c>
      <c r="D2" s="10" t="s">
        <v>55</v>
      </c>
      <c r="E2" s="9" t="s">
        <v>54</v>
      </c>
      <c r="F2" s="9" t="s">
        <v>8</v>
      </c>
      <c r="G2" s="9" t="s">
        <v>9</v>
      </c>
      <c r="H2" s="9" t="s">
        <v>10</v>
      </c>
      <c r="I2" s="9" t="s">
        <v>11</v>
      </c>
      <c r="J2" s="9" t="s">
        <v>12</v>
      </c>
      <c r="K2" s="9" t="s">
        <v>13</v>
      </c>
      <c r="L2" s="9" t="s">
        <v>14</v>
      </c>
      <c r="M2" s="9" t="s">
        <v>15</v>
      </c>
      <c r="N2" s="9" t="s">
        <v>16</v>
      </c>
      <c r="O2" s="9" t="s">
        <v>17</v>
      </c>
      <c r="P2" s="9" t="s">
        <v>18</v>
      </c>
      <c r="T2" s="9" t="s">
        <v>1</v>
      </c>
      <c r="U2" s="9" t="s">
        <v>41</v>
      </c>
      <c r="V2" s="9" t="s">
        <v>42</v>
      </c>
      <c r="W2" s="19" t="s">
        <v>43</v>
      </c>
    </row>
    <row r="3" spans="1:23" s="3" customFormat="1" ht="20" customHeight="1">
      <c r="A3" s="31">
        <v>1</v>
      </c>
      <c r="B3" s="34" t="s">
        <v>44</v>
      </c>
      <c r="C3" s="13" t="s">
        <v>45</v>
      </c>
      <c r="D3" s="14">
        <v>5500</v>
      </c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17" t="s">
        <v>23</v>
      </c>
      <c r="T3" s="31">
        <v>1</v>
      </c>
      <c r="U3" s="34" t="s">
        <v>44</v>
      </c>
      <c r="V3" s="13" t="s">
        <v>45</v>
      </c>
      <c r="W3" s="14">
        <v>5500</v>
      </c>
    </row>
    <row r="4" spans="1:23" s="3" customFormat="1" ht="20" customHeight="1">
      <c r="A4" s="32"/>
      <c r="B4" s="34"/>
      <c r="C4" s="13" t="s">
        <v>46</v>
      </c>
      <c r="D4" s="14">
        <f>80+45+25+8</f>
        <v>158</v>
      </c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T4" s="32"/>
      <c r="U4" s="34"/>
      <c r="V4" s="13" t="s">
        <v>46</v>
      </c>
      <c r="W4" s="14">
        <f>80+45+25+8</f>
        <v>158</v>
      </c>
    </row>
    <row r="5" spans="1:23" s="3" customFormat="1" ht="20" customHeight="1">
      <c r="A5" s="32"/>
      <c r="B5" s="34"/>
      <c r="C5" s="13" t="s">
        <v>47</v>
      </c>
      <c r="D5" s="14">
        <f>1600+250</f>
        <v>1850</v>
      </c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T5" s="32"/>
      <c r="U5" s="34"/>
      <c r="V5" s="13" t="s">
        <v>47</v>
      </c>
      <c r="W5" s="14">
        <f>1600+250</f>
        <v>1850</v>
      </c>
    </row>
    <row r="6" spans="1:23" s="3" customFormat="1" ht="20" customHeight="1">
      <c r="A6" s="32"/>
      <c r="B6" s="34"/>
      <c r="C6" s="13" t="s">
        <v>48</v>
      </c>
      <c r="D6" s="15">
        <v>1000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T6" s="32"/>
      <c r="U6" s="34"/>
      <c r="V6" s="13" t="s">
        <v>48</v>
      </c>
      <c r="W6" s="15">
        <v>1000</v>
      </c>
    </row>
    <row r="7" spans="1:23" s="3" customFormat="1" ht="20" customHeight="1">
      <c r="A7" s="16">
        <v>2</v>
      </c>
      <c r="B7" s="16" t="s">
        <v>49</v>
      </c>
      <c r="C7" s="13" t="s">
        <v>50</v>
      </c>
      <c r="D7" s="14">
        <v>1000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T7" s="16">
        <v>2</v>
      </c>
      <c r="U7" s="16" t="s">
        <v>49</v>
      </c>
      <c r="V7" s="13" t="s">
        <v>50</v>
      </c>
      <c r="W7" s="14">
        <v>1000</v>
      </c>
    </row>
    <row r="8" spans="1:23" ht="20" customHeight="1">
      <c r="A8" s="17">
        <v>3</v>
      </c>
      <c r="B8" s="35" t="s">
        <v>51</v>
      </c>
      <c r="C8" s="34"/>
      <c r="D8" s="26">
        <f>SUM(D3:D7)</f>
        <v>9508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</row>
  </sheetData>
  <mergeCells count="6">
    <mergeCell ref="T3:T6"/>
    <mergeCell ref="U3:U6"/>
    <mergeCell ref="B8:C8"/>
    <mergeCell ref="A1:P1"/>
    <mergeCell ref="A3:A6"/>
    <mergeCell ref="B3:B6"/>
  </mergeCells>
  <phoneticPr fontId="5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计划表</vt:lpstr>
      <vt:lpstr>资产计划表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kayla</dc:creator>
  <cp:lastModifiedBy>Microsoft Office User</cp:lastModifiedBy>
  <dcterms:created xsi:type="dcterms:W3CDTF">2022-01-04T21:58:39Z</dcterms:created>
  <dcterms:modified xsi:type="dcterms:W3CDTF">2022-02-14T07:56:28Z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