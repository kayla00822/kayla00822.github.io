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1"/>
  <workbookPr/>
  <mc:AlternateContent xmlns:mc="http://schemas.openxmlformats.org/markup-compatibility/2006">
    <mc:Choice Requires="x15">
      <x15ac:absPath xmlns:x15ac="http://schemas.microsoft.com/office/spreadsheetml/2010/11/ac" url="/Users/kayla/Desktop/Workspace/kayla00822.github.io/"/>
    </mc:Choice>
  </mc:AlternateContent>
  <xr:revisionPtr revIDLastSave="0" documentId="13_ncr:1_{F8D6DD98-CFB5-0F49-8DC6-A7171D0E2168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2022书单表" sheetId="2" r:id="rId1"/>
    <sheet name="2022影单表" sheetId="3" r:id="rId2"/>
    <sheet name="女团计划表" sheetId="4" r:id="rId3"/>
    <sheet name="社交计划表" sheetId="5" r:id="rId4"/>
    <sheet name="2022年度计划表" sheetId="1" r:id="rId5"/>
    <sheet name="1月计划表" sheetId="7" r:id="rId6"/>
    <sheet name="2月计划表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2" i="8" l="1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G8" i="5"/>
  <c r="G7" i="5"/>
  <c r="I6" i="5"/>
  <c r="G6" i="5"/>
</calcChain>
</file>

<file path=xl/sharedStrings.xml><?xml version="1.0" encoding="utf-8"?>
<sst xmlns="http://schemas.openxmlformats.org/spreadsheetml/2006/main" count="1447" uniqueCount="254">
  <si>
    <t>序号</t>
  </si>
  <si>
    <t>类别</t>
  </si>
  <si>
    <t>优先级</t>
  </si>
  <si>
    <t>书名</t>
  </si>
  <si>
    <t>阅读来源</t>
  </si>
  <si>
    <t>阅读完成时间</t>
  </si>
  <si>
    <t>读后感</t>
  </si>
  <si>
    <t>工具类</t>
  </si>
  <si>
    <t>★★★</t>
  </si>
  <si>
    <t>《事实》</t>
  </si>
  <si>
    <t>kindle</t>
  </si>
  <si>
    <t>许多我们认为的事情，在没有得到翔实的数据佐证前，可能你仅仅是存在我们脑海中的偏见，只有当我们更多的去探索和了解，才有可能推翻我们的固有偏见，看到事实的真相。另外，世界是在不断的变好中，这个是整个大环境的趋势，当然人类的困境还在会存在，只是转换了不同的形式。</t>
  </si>
  <si>
    <t>金融类</t>
  </si>
  <si>
    <t>★★★★★</t>
  </si>
  <si>
    <t>《基金业务》</t>
  </si>
  <si>
    <t>实体书</t>
  </si>
  <si>
    <t>这本书对于基金的分类、管理和运营头提供了非常好的切入视角。这本书中，有3处我非常感兴趣：其一是了解了股票类资产的研究方法，债券资产对于久期敏感度的分析，以及量化基金、对冲基金等另类资产。其二是对于相关性弱的资产组合，结合资产有效边界就能得到组合的最有配置。这个也是智投中提倡的理念。最后是关于股票资产的中的研究方法，如基本面分析、技术分析、量化分析，还有Berra归因分析等，这些都是平时我们会用到的内容。</t>
  </si>
  <si>
    <t>类型</t>
  </si>
  <si>
    <t>名称</t>
  </si>
  <si>
    <t>推荐指数</t>
  </si>
  <si>
    <t>来源</t>
  </si>
  <si>
    <t>观影日期</t>
  </si>
  <si>
    <t>感后感</t>
  </si>
  <si>
    <t>仿纪录片</t>
  </si>
  <si>
    <t>《大空头》</t>
  </si>
  <si>
    <t>腾讯</t>
  </si>
  <si>
    <t>经过推荐的一部片子，真实的还原了美国次贷危机的真实原因，同时影片揭示了在危机来临前，几个敏感的投资者通过自己的挖掘和分析，提前预知了美国经济崩盘的真相并通过做空市场进行获利。影片虽然镜头晃个不停，节奏略微拖沓外，整体的观影还是给人一种酣畅淋漓的感觉。我们当然知道这个世界是被权贵所操纵，当当权贵们企图让平民来偿还自己贪婪的错误时，还是不免让人觉得憎恶，也对这个金融市场感到失望。影片在最后很好的聚焦了这一点，看完后不免唏嘘。</t>
  </si>
  <si>
    <t>剧情片</t>
  </si>
  <si>
    <t>胭脂扣</t>
  </si>
  <si>
    <t>★★★★</t>
  </si>
  <si>
    <t>云盘</t>
  </si>
  <si>
    <t>真爱总是如此的脆弱和美好，十二少的温柔，如花的痴情给电影里染上了一种凄美的色调，突然觉得这个也是时代的悲剧，在那个年代，他们俩那个时候还能做什么呢？听过很多次推荐，却在今年开年看到了这样一部作品，其情感确实令人黯然，但又有很强的美感。</t>
  </si>
  <si>
    <t>科幻片</t>
  </si>
  <si>
    <t>黑客帝国：矩阵重启</t>
  </si>
  <si>
    <t>★★</t>
  </si>
  <si>
    <t>电影院</t>
  </si>
  <si>
    <t>故事支离破碎，还不如保持前三部的辉煌，不喜欢</t>
  </si>
  <si>
    <t xml:space="preserve">2021年女团三月计划表
</t>
  </si>
  <si>
    <t>目标：
1、瘦 身高163，体重46kg
2、紧致 大腿、臀部、手臂都非常的紧致，利用大量的有氧运动保持紧致的皮肤
3、白 每天保持维生素C*2、柠檬水、西红柿、美白精华、猕猴桃的摄入，保持每天的物理防晒
4、露 露腰、露腿、露肩膀、保持一定的露肤度，冬天保证细长直的腿部线条
5、时尚 穿衣服更加追求氛围感，而非实用感，保持一种青春、自信的美感、添加高跟鞋、热裤、露腰装等衣服
6、头发 保持长头发，护理好长头发的蓬松感、柔顺感、适度的使用卷发造型
7、皮肤&amp;唇色 保持细腻白嫩的肤感，坚持每天10点半睡觉，消除皮肤问题，保持每天的唇色
8、五官轮廓 坚持好好使用矫正器，有意识的矫正自己的左右脸不对称问题，调整自己的眉毛和脸部多余的线条
9、金钱、时间、耐心与自信，这是所有一切的根本和基础
10、确定适合自己的风格，调整自己的衣橱，将不符合自己风格的衣服全部送人</t>
  </si>
  <si>
    <t xml:space="preserve">目标：blackpink 裴珠泫
第一阶段 30天 解决皮肤问题（1/1-1/30）
第二阶段 60天  解决头发问题，确定自己的风格、更改自己的衣橱、调整自己的化妆风格（2/1-2/30 体重 50kg）
第三阶段 90天 瘦&amp;紧致、白、时尚、五官轮廓（3/1-3/30 46KG）
</t>
  </si>
  <si>
    <t xml:space="preserve">时间安排：
1、每天保持25min运动（跑步、跳绳、波比跳、keep、弹力带、羽毛球、骑车、游泳、跳舞）
2、早餐：7点半吃早餐米粉/馒头/饺子/馄饨，12点午饭 一拳头米饭+一拳蛋白质+一拳蔬菜（八分饱）+晚6点晚饭 一颗鸡蛋/一把蔬菜/一杯燕麦牛奶/一碗粥
3、拒绝所有甜食，每天22：30睡觉，保持每天7.5h睡眠，午休20分钟，调整心态
</t>
  </si>
  <si>
    <t>阶段</t>
  </si>
  <si>
    <t>任务</t>
  </si>
  <si>
    <t>打卡日期</t>
  </si>
  <si>
    <t>运动时间（H）</t>
  </si>
  <si>
    <t>备注</t>
  </si>
  <si>
    <t>预计完成时间</t>
  </si>
  <si>
    <t>实际完成时间</t>
  </si>
  <si>
    <t>第一阶段</t>
  </si>
  <si>
    <t>解决皮肤问题&amp;运动打卡</t>
  </si>
  <si>
    <t>早10min+晚间15Min，明天早点起床，还是严格控制晚餐，携带面包</t>
  </si>
  <si>
    <t>早5min+晚间15min，晚餐需要守住，另外菜色可以尽量低脂</t>
  </si>
  <si>
    <t>早15min+晚10min，晚餐一顿肠粉，以后晚饭尽量改为面包，且在下班前解决</t>
  </si>
  <si>
    <t>增加早晚的有氧运动量，争取在1月份体重减至54kg-65cm
目前58.7kg-75cm</t>
  </si>
  <si>
    <t>45min</t>
  </si>
  <si>
    <t>早晨朝阳公园跑步，感觉跑步还是很费劲，因此需要多加训练</t>
  </si>
  <si>
    <t>早晨跑步+无氧训练45min（07：15-08：00）</t>
  </si>
  <si>
    <t xml:space="preserve">2021年社交计划表
</t>
  </si>
  <si>
    <t xml:space="preserve">第一阶段15-25天
完成渠道+基本方向的确定
方向：产品、音乐（吉他）、人生思考、极简、音乐分享、阅读分享、项目规划、视频特效展示
渠道:微信公众号、博客、小红书、人人都是产品经理、B站、知乎
【极简产品】人人/知乎/博客/b站
【极简人生】小红书/知乎/微信/博客
1、思考定位、人群、运营模式、后续发展规划；
2、方法、思路、各市场竞品分析；
3、设计整体对外展示方案、包含视觉设计、文稿风格、整体逻辑等
</t>
  </si>
  <si>
    <t>第二阶段
开始为期2个月的测试阶段
根据确定的方案进行撰写&amp;输出，分配每天需执行的任务</t>
  </si>
  <si>
    <t>第三阶段
复盘第二阶段的输出，整合当前思路，设置第二版优化输出方案</t>
  </si>
  <si>
    <t>预计开始日期</t>
  </si>
  <si>
    <t>预计完成日期</t>
  </si>
  <si>
    <t>预计完成天数</t>
  </si>
  <si>
    <t>实际完成日期</t>
  </si>
  <si>
    <t>实际完成天数</t>
  </si>
  <si>
    <t>思考定位、人群、运营模式、后续发展规划；</t>
  </si>
  <si>
    <t>1、产品方向</t>
  </si>
  <si>
    <t>方法、思路、各市场竞品分析；</t>
  </si>
  <si>
    <t>设计整体对外展示方案、包含视觉设计、文稿风格、整体逻辑等</t>
  </si>
  <si>
    <t>大类</t>
  </si>
  <si>
    <t>目标</t>
  </si>
  <si>
    <t>细分目标</t>
  </si>
  <si>
    <t>deadline</t>
  </si>
  <si>
    <t>总进度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</si>
  <si>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</si>
  <si>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</si>
  <si>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</si>
  <si>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</si>
  <si>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</si>
  <si>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</si>
  <si>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</si>
  <si>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</si>
  <si>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</si>
  <si>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</si>
  <si>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</si>
  <si>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</si>
  <si>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辅助列</t>
  </si>
  <si>
    <t xml:space="preserve"> 学习精进</t>
  </si>
  <si>
    <t>考研计划</t>
  </si>
  <si>
    <t>考研材料收集（院校资料、报录比、学校要求、官网）</t>
  </si>
  <si>
    <t>3月底</t>
  </si>
  <si>
    <t>️</t>
  </si>
  <si>
    <t>✔</t>
  </si>
  <si>
    <t>提面考试准备</t>
  </si>
  <si>
    <t>4月底</t>
  </si>
  <si>
    <t>提面非考试性材料准备</t>
  </si>
  <si>
    <t>管理类考试准备</t>
  </si>
  <si>
    <t>12月底</t>
  </si>
  <si>
    <t>考研报名相关事宜</t>
  </si>
  <si>
    <t>10月底</t>
  </si>
  <si>
    <t>GRE考试
（暂定4月/2R日考试）</t>
  </si>
  <si>
    <t>背诵GRE单词</t>
  </si>
  <si>
    <t>研究生阅读计划</t>
  </si>
  <si>
    <t>2月中旬</t>
  </si>
  <si>
    <t>考场阅读训练（SAT\GRE\OG\课外读物3本+）</t>
  </si>
  <si>
    <t>基金从业考试
（3/27,2/19报名）</t>
  </si>
  <si>
    <t>B站课程学习</t>
  </si>
  <si>
    <t>APP刷题</t>
  </si>
  <si>
    <t>课本概念学习</t>
  </si>
  <si>
    <t>TOEFL考试
（7月/3日考试）</t>
  </si>
  <si>
    <t>TOEFL 单词背诵</t>
  </si>
  <si>
    <t>5月底</t>
  </si>
  <si>
    <t>写作训练</t>
  </si>
  <si>
    <t>6月底</t>
  </si>
  <si>
    <t>听力&amp;范文背诵</t>
  </si>
  <si>
    <t>阅读训练</t>
  </si>
  <si>
    <t>软考_高级
（报名2月底，考试5月下旬）</t>
  </si>
  <si>
    <t>B站软考高级视频</t>
  </si>
  <si>
    <t>软考软件刷题&amp;历史真题</t>
  </si>
  <si>
    <t>软考作文训练</t>
  </si>
  <si>
    <t>5月中</t>
  </si>
  <si>
    <t>考试程序题训练</t>
  </si>
  <si>
    <t>CFA一级考试
（11月中旬）</t>
  </si>
  <si>
    <t>CFA考试基本了解</t>
  </si>
  <si>
    <t>1月底</t>
  </si>
  <si>
    <t>CFA考试单词通识</t>
  </si>
  <si>
    <t>CFA考试教程</t>
  </si>
  <si>
    <t>CFA模拟考试+真题</t>
  </si>
  <si>
    <t>7月底</t>
  </si>
  <si>
    <t>PMP考试（预计9月考试）</t>
  </si>
  <si>
    <t>PMP现代卓越教程</t>
  </si>
  <si>
    <t>8月底</t>
  </si>
  <si>
    <t>PMP真题试卷</t>
  </si>
  <si>
    <t>9月底</t>
  </si>
  <si>
    <t>PMP考前资料</t>
  </si>
  <si>
    <t>2022年PMP考试规则</t>
  </si>
  <si>
    <t xml:space="preserve">CPA考试
（8月26-28日
2022年4月6—29日报名）
</t>
  </si>
  <si>
    <t>了解相关考试&amp;日期冲突</t>
  </si>
  <si>
    <t>1月第</t>
  </si>
  <si>
    <t>CPA考试准备</t>
  </si>
  <si>
    <t>8月第</t>
  </si>
  <si>
    <t>python教程学习</t>
  </si>
  <si>
    <t>爬虫视频教程学习</t>
  </si>
  <si>
    <t>python视频教程5组（完成python中爬虫数据检索、量化数据解析、基本数据查找分析 ）</t>
  </si>
  <si>
    <t>工作领域</t>
  </si>
  <si>
    <t>社交KOL计划</t>
  </si>
  <si>
    <t>确定社交发力方向、风格，形象</t>
  </si>
  <si>
    <t>保持每3天一次更新频率</t>
  </si>
  <si>
    <t>根据半年运营数据&amp;结果进行调整、找到线下扩展方式</t>
  </si>
  <si>
    <t>找到提升&amp;变现方式</t>
  </si>
  <si>
    <t>100种职业观察笔记</t>
  </si>
  <si>
    <t>发起100职业活动</t>
  </si>
  <si>
    <t>结交100个不同职业的人，充分了解其生活</t>
  </si>
  <si>
    <t>将结果和数据形成有影响的文章</t>
  </si>
  <si>
    <t>寻找新机会（外企、金融、兼职）</t>
  </si>
  <si>
    <t>将自己的工作内容做梳理、整合</t>
  </si>
  <si>
    <t>找到各行业的基本情况&amp;要求</t>
  </si>
  <si>
    <t>投递合适的简历&amp;面试</t>
  </si>
  <si>
    <t>根据职业发展情况进行沟通&amp;确认</t>
  </si>
  <si>
    <t>确定职业方向</t>
  </si>
  <si>
    <t>生活&amp;健康</t>
  </si>
  <si>
    <t>女团计划</t>
  </si>
  <si>
    <t>解决皮肤问题</t>
  </si>
  <si>
    <t>解决头发问题，确定自己的风格、更改自己的衣橱、调整自己的化妆风格</t>
  </si>
  <si>
    <t>2月底</t>
  </si>
  <si>
    <t>瘦&amp;紧致、白、时尚、五官轮廓</t>
  </si>
  <si>
    <t>马甲线计划</t>
  </si>
  <si>
    <t>3个月无氧运动增强马甲线</t>
  </si>
  <si>
    <t>增加游泳的学习</t>
  </si>
  <si>
    <t>加强羽毛球锻炼</t>
  </si>
  <si>
    <t>吉他写歌计划</t>
  </si>
  <si>
    <t>吉他每日练习15min</t>
  </si>
  <si>
    <t>吉他乐理学习</t>
  </si>
  <si>
    <t>吉他乐曲编写</t>
  </si>
  <si>
    <t>电钢琴计划</t>
  </si>
  <si>
    <t>电钢琴入门乐理学习</t>
  </si>
  <si>
    <t>11月底</t>
  </si>
  <si>
    <t>电钢琴乐曲10首练习</t>
  </si>
  <si>
    <t>理财投资</t>
  </si>
  <si>
    <t>年度投资计划</t>
  </si>
  <si>
    <t>研究理财相关课程，增加投资种类和投资方式，保持10%-15%的收益率</t>
  </si>
  <si>
    <t>开启另类投资尝试（民宿、兼职、开店、私募）</t>
  </si>
  <si>
    <t>1月计划表</t>
  </si>
  <si>
    <t>1日</t>
  </si>
  <si>
    <t>2日</t>
  </si>
  <si>
    <t>3日</t>
  </si>
  <si>
    <t>4日</t>
  </si>
  <si>
    <t>5日</t>
  </si>
  <si>
    <t>6日</t>
  </si>
  <si>
    <t>7日</t>
  </si>
  <si>
    <t>8日</t>
  </si>
  <si>
    <t>9日</t>
  </si>
  <si>
    <t>10日</t>
  </si>
  <si>
    <t>11日</t>
  </si>
  <si>
    <t>12日</t>
  </si>
  <si>
    <t>13日</t>
  </si>
  <si>
    <t>14日</t>
  </si>
  <si>
    <t>15日</t>
  </si>
  <si>
    <t>16日</t>
  </si>
  <si>
    <t>17日</t>
  </si>
  <si>
    <t>18日</t>
  </si>
  <si>
    <t>19日</t>
  </si>
  <si>
    <t>20日</t>
  </si>
  <si>
    <t>21日</t>
  </si>
  <si>
    <t>22日</t>
  </si>
  <si>
    <t>23日</t>
  </si>
  <si>
    <t>24日</t>
  </si>
  <si>
    <t>25日</t>
  </si>
  <si>
    <t>26日</t>
  </si>
  <si>
    <t>27日</t>
  </si>
  <si>
    <t>28日</t>
  </si>
  <si>
    <t>29日</t>
  </si>
  <si>
    <t>30日</t>
  </si>
  <si>
    <t>31日</t>
  </si>
  <si>
    <t>×</t>
  </si>
  <si>
    <t>✔️</t>
  </si>
  <si>
    <t>PMP考试</t>
  </si>
  <si>
    <t>坚持每天30mins运动</t>
  </si>
  <si>
    <t>研究时尚穿搭，寻找个人风格</t>
  </si>
  <si>
    <t>北大投资课程</t>
  </si>
  <si>
    <t>【已延迟计划】GRE考试
（暂定4月/2日考试）</t>
  </si>
  <si>
    <t>【已延迟计划】python教程学习</t>
  </si>
  <si>
    <r>
      <t xml:space="preserve">2022年影单
</t>
    </r>
    <r>
      <rPr>
        <b/>
        <sz val="14"/>
        <color theme="1"/>
        <rFont val="仿宋"/>
        <family val="3"/>
        <charset val="134"/>
      </rPr>
      <t>今年目标：观影30部+，包含10部纪录片</t>
    </r>
  </si>
  <si>
    <t>南太平洋之旅 Journey to the South Pacific</t>
    <phoneticPr fontId="13" type="noConversion"/>
  </si>
  <si>
    <t>纪录片</t>
    <phoneticPr fontId="13" type="noConversion"/>
  </si>
  <si>
    <t>★★★★</t>
    <phoneticPr fontId="13" type="noConversion"/>
  </si>
  <si>
    <t>网易云在线</t>
    <phoneticPr fontId="13" type="noConversion"/>
  </si>
  <si>
    <t>太平洋温柔的海水泛着明蓝色的光芒，年轻的孩童赤脚翻身跳进清澈的海水中，整部影片充满着童趣和纯真，那些美好的笑容如同蔚蓝的海风，又像是洁白的细沙，让人忍不住赞叹和微笑。在海边出生的孩子，每天都生活在大海的怀抱之中，随着海浪和帆船到各处去游荡，在海水中看到缓慢的乌龟和有趣的海马，随着这些美妙生物不断的起起伏伏，让人羡慕不已。这部片子和色调和语言都是舒缓而沉静的，让我想起印尼的海风和小岛风光，真想再次回到海边时光。</t>
    <phoneticPr fontId="13" type="noConversion"/>
  </si>
  <si>
    <r>
      <t xml:space="preserve">2022年书单
</t>
    </r>
    <r>
      <rPr>
        <b/>
        <sz val="14"/>
        <color theme="1"/>
        <rFont val="仿宋"/>
        <family val="3"/>
        <charset val="134"/>
      </rPr>
      <t>今年目标：专业书15本，共计阅读55本+</t>
    </r>
  </si>
  <si>
    <t>《金字塔原理》</t>
    <phoneticPr fontId="13" type="noConversion"/>
  </si>
  <si>
    <t>★★★</t>
    <phoneticPr fontId="13" type="noConversion"/>
  </si>
  <si>
    <t>大名鼎鼎的工具类书籍，书中从逻辑出发，阐述了金字塔逻辑的规则和实际应用。金字塔原理的核心是将我们混乱的思绪抽象聚合成一条核心内容，每一条内容确保其核心突出，与其他观点边界清晰，以此形成我们的核心观点，再由核心观点出发，展开清晰的说明，以此形成金字塔结构的思想模型。这本书中还介绍了一个有趣的知识点：逻辑推理和演绎推理，简单而言，演绎推理是从一个点递进到另一个点，而归纳推理是从几条线出发，归结到一个结论上，因此这个也是我们平时在做逻辑思维训练时常用的思考方式；最后书中有关于邮件中金字塔原理的应用，这个对于我平时的周报汇报也起到了比较好的提示作用。总结来说，这是一本很不错的工具书，对于形成个人的思维方式有非常好的启发作用。</t>
    <phoneticPr fontId="13" type="noConversion"/>
  </si>
  <si>
    <t xml:space="preserve">     </t>
    <phoneticPr fontId="13" type="noConversion"/>
  </si>
  <si>
    <t>科幻片</t>
    <phoneticPr fontId="13" type="noConversion"/>
  </si>
  <si>
    <t>人类之子</t>
    <phoneticPr fontId="13" type="noConversion"/>
  </si>
  <si>
    <t>云盘</t>
    <phoneticPr fontId="13" type="noConversion"/>
  </si>
  <si>
    <t>非常失望的一部片子，原本我们期待的大片，大制作，没有想到本片更多的是一部披着科幻外衣的政治片，影片中围绕2027年人类无法生育作为焦点，展示了政府、宗教人群、及普通平民在这种巨大的矛盾和压力下，所有人都开始解开了自己黑暗的一面。虽然影片中几处枪战看的过瘾，但整体的故事不免虎头蛇尾，且让人觉得不着边际，对于我而言，科幻片一定要有自己的核心和符合这个核心主题的世界观，而在这部电影中，我认为情节是凌乱的，情感也是不连贯的，因此看起来感觉很不舒服，我不太喜欢这一部电影。</t>
    <phoneticPr fontId="13" type="noConversion"/>
  </si>
  <si>
    <t>史密斯夫妇</t>
    <phoneticPr fontId="13" type="noConversion"/>
  </si>
  <si>
    <t>哔哩哔哩</t>
    <phoneticPr fontId="13" type="noConversion"/>
  </si>
  <si>
    <t>很早看过的一部电影，现在看完后依旧觉得是一部很不错的爆米花电影，唯一的感觉是朱莉在影片中的呈现，让人觉得移不开眼睛。</t>
    <phoneticPr fontId="13" type="noConversion"/>
  </si>
  <si>
    <t>找工作计划</t>
    <phoneticPr fontId="13" type="noConversion"/>
  </si>
  <si>
    <t>★★★★★</t>
    <phoneticPr fontId="13" type="noConversion"/>
  </si>
  <si>
    <t>投递简历&amp;寻找大机构的机会</t>
    <phoneticPr fontId="13" type="noConversion"/>
  </si>
  <si>
    <t>《尼罗河上的惨案》</t>
    <phoneticPr fontId="13" type="noConversion"/>
  </si>
  <si>
    <t>《阿甘正传》</t>
    <phoneticPr fontId="13" type="noConversion"/>
  </si>
  <si>
    <t>《教父1》</t>
    <phoneticPr fontId="13" type="noConversion"/>
  </si>
  <si>
    <t>影院</t>
    <phoneticPr fontId="13" type="noConversion"/>
  </si>
  <si>
    <t>在影片中，尼罗河上迷人的风光背后，是人们对于金钱和权利的追逐。一点感触是：人们对于财富的争夺总是飞蛾扑火般，而在财富中心的人始终无法平静。有趣的是，影片昏黄色的色调总是让我想起六年级在图书馆借阅的探索书刊，里面的人物都是金色卷发，他们在金字塔、巴比伦进行着探索与冒险，让小小的我觉得神奇不已。</t>
    <phoneticPr fontId="13" type="noConversion"/>
  </si>
  <si>
    <t>阿甘是一个不那么优秀的孩子，但是他有幸在时代的洪流中保留了自己的虔诚和朴实，尽管在爱情中无法得到珍妮的慰藉，但是正因如此，他始终保持了对于生活的向往和动力，他是幸福的。</t>
    <phoneticPr fontId="13" type="noConversion"/>
  </si>
  <si>
    <t>实体书</t>
    <phoneticPr fontId="13" type="noConversion"/>
  </si>
  <si>
    <t>文学类</t>
    <phoneticPr fontId="13" type="noConversion"/>
  </si>
  <si>
    <t>《平凡的世界》一</t>
    <phoneticPr fontId="13" type="noConversion"/>
  </si>
  <si>
    <t>在西西弗斯书店读完了平凡的世界第一本，书中描写的上个世纪在一个贫困的山村中，一家人如何生存。读着读着，仿佛是在看自己家族的兴衰史，家中的大姨总是无论如何也要在时代中拼搏前进，我妈也在这个时代中不断的顽强向前。仿佛是在读自己家中的故事。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</si>
</sst>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&quot;分&quot;&quot;钟&quot;"/>
    <numFmt numFmtId="177" formatCode="0&quot;天&quot;"/>
    <numFmt numFmtId="178" formatCode="yyyy/m/d;@"/>
    <numFmt numFmtId="179" formatCode="0.00_);[Red]\(0.00\)"/>
    <numFmt numFmtId="180" formatCode="0_ "/>
    <numFmt numFmtId="181" formatCode="0.00_ "/>
    <numFmt numFmtId="182" formatCode="yyyy&quot;年&quot;m&quot;月&quot;d&quot;日&quot;;@"/>
  </numFmts>
  <fonts count="17">
    <font>
      <sz val="12"/>
      <color theme="1"/>
      <name val="宋体"/>
      <charset val="134"/>
      <scheme val="minor"/>
    </font>
    <font>
      <sz val="14"/>
      <color theme="1"/>
      <name val="华文宋体"/>
      <family val="1"/>
      <charset val="134"/>
    </font>
    <font>
      <sz val="10"/>
      <color theme="1"/>
      <name val="华文宋体"/>
      <family val="1"/>
      <charset val="134"/>
    </font>
    <font>
      <sz val="36"/>
      <color theme="1"/>
      <name val="华文宋体"/>
      <family val="1"/>
      <charset val="134"/>
    </font>
    <font>
      <b/>
      <sz val="14"/>
      <color theme="1"/>
      <name val="华文宋体"/>
      <family val="1"/>
      <charset val="134"/>
    </font>
    <font>
      <sz val="14"/>
      <color rgb="FFCC66FF"/>
      <name val="华文宋体"/>
      <family val="1"/>
      <charset val="134"/>
    </font>
    <font>
      <sz val="20"/>
      <color theme="1"/>
      <name val="仿宋"/>
      <family val="3"/>
      <charset val="134"/>
    </font>
    <font>
      <b/>
      <sz val="20"/>
      <color theme="1"/>
      <name val="仿宋"/>
      <family val="3"/>
      <charset val="134"/>
    </font>
    <font>
      <sz val="36"/>
      <color theme="1"/>
      <name val="仿宋"/>
      <family val="3"/>
      <charset val="134"/>
    </font>
    <font>
      <b/>
      <sz val="20"/>
      <color rgb="FFFF0000"/>
      <name val="仿宋"/>
      <family val="3"/>
      <charset val="134"/>
    </font>
    <font>
      <b/>
      <sz val="20"/>
      <name val="仿宋"/>
      <family val="3"/>
      <charset val="134"/>
    </font>
    <font>
      <sz val="20"/>
      <name val="仿宋"/>
      <family val="3"/>
      <charset val="134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4"/>
      <color theme="1"/>
      <name val="仿宋"/>
      <family val="3"/>
      <charset val="134"/>
    </font>
    <font>
      <sz val="14"/>
      <color theme="1"/>
      <name val="仿宋"/>
      <family val="3"/>
      <charset val="134"/>
    </font>
    <font>
      <sz val="14"/>
      <color theme="1"/>
      <name val="Segoe UI Symbol"/>
      <family val="2"/>
    </font>
  </fonts>
  <fills count="1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E5C5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>
      <alignment vertical="center"/>
    </xf>
    <xf numFmtId="9" fontId="12" fillId="0" borderId="0" applyFont="0" applyFill="0" applyBorder="0" applyAlignment="0" applyProtection="0">
      <alignment vertical="center"/>
    </xf>
  </cellStyleXfs>
  <cellXfs count="171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10" fontId="1" fillId="0" borderId="0" xfId="1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10" fontId="4" fillId="2" borderId="1" xfId="1" applyNumberFormat="1" applyFont="1" applyFill="1" applyBorder="1" applyAlignment="1">
      <alignment horizontal="center" vertical="center" wrapText="1"/>
    </xf>
    <xf numFmtId="10" fontId="1" fillId="0" borderId="1" xfId="1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>
      <alignment vertical="center"/>
    </xf>
    <xf numFmtId="0" fontId="4" fillId="0" borderId="0" xfId="0" applyFont="1" applyAlignment="1">
      <alignment horizontal="center" vertical="center" wrapText="1"/>
    </xf>
    <xf numFmtId="58" fontId="1" fillId="0" borderId="1" xfId="0" applyNumberFormat="1" applyFont="1" applyBorder="1" applyAlignment="1">
      <alignment horizontal="center" vertical="center" wrapText="1"/>
    </xf>
    <xf numFmtId="10" fontId="1" fillId="0" borderId="1" xfId="1" applyNumberFormat="1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181" fontId="6" fillId="0" borderId="0" xfId="0" applyNumberFormat="1" applyFont="1" applyFill="1" applyAlignment="1">
      <alignment horizontal="center" vertical="center" wrapText="1"/>
    </xf>
    <xf numFmtId="181" fontId="7" fillId="0" borderId="0" xfId="0" applyNumberFormat="1" applyFont="1" applyFill="1" applyAlignment="1">
      <alignment horizontal="center" vertical="center" wrapText="1"/>
    </xf>
    <xf numFmtId="180" fontId="6" fillId="0" borderId="0" xfId="0" applyNumberFormat="1" applyFont="1" applyFill="1" applyAlignment="1">
      <alignment horizontal="center" vertical="center" wrapText="1"/>
    </xf>
    <xf numFmtId="178" fontId="6" fillId="0" borderId="0" xfId="0" applyNumberFormat="1" applyFont="1" applyFill="1" applyAlignment="1">
      <alignment horizontal="center" vertical="center" wrapText="1"/>
    </xf>
    <xf numFmtId="177" fontId="6" fillId="0" borderId="0" xfId="0" applyNumberFormat="1" applyFont="1" applyFill="1" applyAlignment="1">
      <alignment horizontal="center" vertical="center" wrapText="1"/>
    </xf>
    <xf numFmtId="179" fontId="6" fillId="0" borderId="0" xfId="0" applyNumberFormat="1" applyFont="1" applyFill="1" applyAlignment="1">
      <alignment horizontal="center" vertical="center" wrapText="1"/>
    </xf>
    <xf numFmtId="10" fontId="6" fillId="0" borderId="0" xfId="1" applyNumberFormat="1" applyFont="1" applyAlignment="1">
      <alignment horizontal="center" vertical="center" wrapText="1"/>
    </xf>
    <xf numFmtId="180" fontId="7" fillId="9" borderId="2" xfId="0" applyNumberFormat="1" applyFont="1" applyFill="1" applyBorder="1" applyAlignment="1">
      <alignment horizontal="center" vertical="center" wrapText="1"/>
    </xf>
    <xf numFmtId="181" fontId="7" fillId="9" borderId="2" xfId="0" applyNumberFormat="1" applyFont="1" applyFill="1" applyBorder="1" applyAlignment="1">
      <alignment horizontal="center" vertical="center" wrapText="1"/>
    </xf>
    <xf numFmtId="180" fontId="7" fillId="3" borderId="2" xfId="0" applyNumberFormat="1" applyFont="1" applyFill="1" applyBorder="1" applyAlignment="1">
      <alignment horizontal="center" vertical="center" wrapText="1"/>
    </xf>
    <xf numFmtId="181" fontId="7" fillId="10" borderId="2" xfId="0" applyNumberFormat="1" applyFont="1" applyFill="1" applyBorder="1" applyAlignment="1">
      <alignment horizontal="center" vertical="center" wrapText="1"/>
    </xf>
    <xf numFmtId="181" fontId="7" fillId="10" borderId="2" xfId="0" applyNumberFormat="1" applyFont="1" applyFill="1" applyBorder="1" applyAlignment="1">
      <alignment horizontal="left" vertical="center" wrapText="1"/>
    </xf>
    <xf numFmtId="180" fontId="7" fillId="3" borderId="1" xfId="0" applyNumberFormat="1" applyFont="1" applyFill="1" applyBorder="1" applyAlignment="1">
      <alignment horizontal="center" vertical="center" wrapText="1"/>
    </xf>
    <xf numFmtId="181" fontId="7" fillId="10" borderId="1" xfId="0" applyNumberFormat="1" applyFont="1" applyFill="1" applyBorder="1" applyAlignment="1">
      <alignment horizontal="center" vertical="center" wrapText="1"/>
    </xf>
    <xf numFmtId="178" fontId="7" fillId="9" borderId="2" xfId="0" applyNumberFormat="1" applyFont="1" applyFill="1" applyBorder="1" applyAlignment="1">
      <alignment horizontal="center" vertical="center" wrapText="1"/>
    </xf>
    <xf numFmtId="177" fontId="7" fillId="9" borderId="2" xfId="0" applyNumberFormat="1" applyFont="1" applyFill="1" applyBorder="1" applyAlignment="1">
      <alignment horizontal="center" vertical="center" wrapText="1"/>
    </xf>
    <xf numFmtId="178" fontId="7" fillId="10" borderId="2" xfId="0" applyNumberFormat="1" applyFont="1" applyFill="1" applyBorder="1" applyAlignment="1">
      <alignment horizontal="left" vertical="center" wrapText="1"/>
    </xf>
    <xf numFmtId="178" fontId="7" fillId="10" borderId="2" xfId="0" applyNumberFormat="1" applyFont="1" applyFill="1" applyBorder="1" applyAlignment="1">
      <alignment horizontal="center" vertical="center" wrapText="1"/>
    </xf>
    <xf numFmtId="177" fontId="7" fillId="10" borderId="2" xfId="0" applyNumberFormat="1" applyFont="1" applyFill="1" applyBorder="1" applyAlignment="1">
      <alignment horizontal="center" vertical="center" wrapText="1"/>
    </xf>
    <xf numFmtId="178" fontId="7" fillId="10" borderId="1" xfId="0" applyNumberFormat="1" applyFont="1" applyFill="1" applyBorder="1" applyAlignment="1">
      <alignment horizontal="center" vertical="center" wrapText="1"/>
    </xf>
    <xf numFmtId="177" fontId="7" fillId="10" borderId="1" xfId="0" applyNumberFormat="1" applyFont="1" applyFill="1" applyBorder="1" applyAlignment="1">
      <alignment horizontal="center" vertical="center" wrapText="1"/>
    </xf>
    <xf numFmtId="179" fontId="7" fillId="11" borderId="2" xfId="0" applyNumberFormat="1" applyFont="1" applyFill="1" applyBorder="1" applyAlignment="1">
      <alignment horizontal="center" vertical="center" wrapText="1"/>
    </xf>
    <xf numFmtId="181" fontId="7" fillId="0" borderId="0" xfId="0" applyNumberFormat="1" applyFont="1" applyFill="1" applyBorder="1" applyAlignment="1">
      <alignment horizontal="center" vertical="center" wrapText="1"/>
    </xf>
    <xf numFmtId="179" fontId="7" fillId="10" borderId="2" xfId="0" applyNumberFormat="1" applyFont="1" applyFill="1" applyBorder="1" applyAlignment="1">
      <alignment horizontal="center" vertical="center" wrapText="1"/>
    </xf>
    <xf numFmtId="179" fontId="7" fillId="10" borderId="1" xfId="0" applyNumberFormat="1" applyFont="1" applyFill="1" applyBorder="1" applyAlignment="1">
      <alignment horizontal="center" vertical="center" wrapText="1"/>
    </xf>
    <xf numFmtId="181" fontId="7" fillId="10" borderId="0" xfId="0" applyNumberFormat="1" applyFont="1" applyFill="1" applyAlignment="1">
      <alignment horizontal="center" vertical="center" wrapText="1"/>
    </xf>
    <xf numFmtId="181" fontId="6" fillId="0" borderId="0" xfId="0" applyNumberFormat="1" applyFont="1" applyFill="1" applyBorder="1" applyAlignment="1">
      <alignment horizontal="center" vertical="center" wrapText="1"/>
    </xf>
    <xf numFmtId="182" fontId="6" fillId="0" borderId="0" xfId="0" applyNumberFormat="1" applyFont="1" applyFill="1" applyAlignment="1">
      <alignment horizontal="center" vertical="center" wrapText="1"/>
    </xf>
    <xf numFmtId="176" fontId="6" fillId="0" borderId="0" xfId="0" applyNumberFormat="1" applyFont="1" applyFill="1" applyAlignment="1">
      <alignment horizontal="center" vertical="center" wrapText="1"/>
    </xf>
    <xf numFmtId="179" fontId="6" fillId="0" borderId="0" xfId="0" applyNumberFormat="1" applyFont="1" applyFill="1" applyAlignment="1">
      <alignment horizontal="left" vertical="center" wrapText="1"/>
    </xf>
    <xf numFmtId="178" fontId="6" fillId="0" borderId="0" xfId="1" applyNumberFormat="1" applyFont="1" applyAlignment="1">
      <alignment horizontal="center" vertical="center" wrapText="1"/>
    </xf>
    <xf numFmtId="180" fontId="7" fillId="0" borderId="2" xfId="0" applyNumberFormat="1" applyFont="1" applyFill="1" applyBorder="1" applyAlignment="1">
      <alignment horizontal="center" vertical="center" wrapText="1"/>
    </xf>
    <xf numFmtId="181" fontId="7" fillId="0" borderId="2" xfId="0" applyNumberFormat="1" applyFont="1" applyFill="1" applyBorder="1" applyAlignment="1">
      <alignment horizontal="center" vertical="center" wrapText="1"/>
    </xf>
    <xf numFmtId="180" fontId="7" fillId="10" borderId="1" xfId="0" applyNumberFormat="1" applyFont="1" applyFill="1" applyBorder="1" applyAlignment="1">
      <alignment horizontal="center" vertical="center" wrapText="1"/>
    </xf>
    <xf numFmtId="180" fontId="7" fillId="0" borderId="1" xfId="0" applyNumberFormat="1" applyFont="1" applyFill="1" applyBorder="1" applyAlignment="1">
      <alignment horizontal="center" vertical="center" wrapText="1"/>
    </xf>
    <xf numFmtId="182" fontId="7" fillId="9" borderId="2" xfId="0" applyNumberFormat="1" applyFont="1" applyFill="1" applyBorder="1" applyAlignment="1">
      <alignment horizontal="center" vertical="center" wrapText="1"/>
    </xf>
    <xf numFmtId="176" fontId="7" fillId="9" borderId="2" xfId="0" applyNumberFormat="1" applyFont="1" applyFill="1" applyBorder="1" applyAlignment="1">
      <alignment horizontal="center" vertical="center" wrapText="1"/>
    </xf>
    <xf numFmtId="178" fontId="7" fillId="11" borderId="2" xfId="0" applyNumberFormat="1" applyFont="1" applyFill="1" applyBorder="1" applyAlignment="1">
      <alignment horizontal="center" vertical="center" wrapText="1"/>
    </xf>
    <xf numFmtId="182" fontId="7" fillId="0" borderId="2" xfId="0" applyNumberFormat="1" applyFont="1" applyFill="1" applyBorder="1" applyAlignment="1">
      <alignment horizontal="center" vertical="center" wrapText="1"/>
    </xf>
    <xf numFmtId="176" fontId="7" fillId="0" borderId="2" xfId="0" applyNumberFormat="1" applyFont="1" applyFill="1" applyBorder="1" applyAlignment="1">
      <alignment horizontal="center" vertical="center" wrapText="1"/>
    </xf>
    <xf numFmtId="178" fontId="7" fillId="0" borderId="1" xfId="0" applyNumberFormat="1" applyFont="1" applyFill="1" applyBorder="1" applyAlignment="1">
      <alignment horizontal="center" vertical="center" wrapText="1"/>
    </xf>
    <xf numFmtId="179" fontId="7" fillId="0" borderId="1" xfId="0" applyNumberFormat="1" applyFont="1" applyFill="1" applyBorder="1" applyAlignment="1">
      <alignment horizontal="left" vertical="center" wrapText="1"/>
    </xf>
    <xf numFmtId="179" fontId="7" fillId="11" borderId="1" xfId="0" applyNumberFormat="1" applyFont="1" applyFill="1" applyBorder="1" applyAlignment="1">
      <alignment horizontal="left" vertical="center" wrapText="1"/>
    </xf>
    <xf numFmtId="182" fontId="7" fillId="10" borderId="1" xfId="0" applyNumberFormat="1" applyFont="1" applyFill="1" applyBorder="1" applyAlignment="1">
      <alignment horizontal="center" vertical="center" wrapText="1"/>
    </xf>
    <xf numFmtId="176" fontId="7" fillId="10" borderId="1" xfId="0" applyNumberFormat="1" applyFont="1" applyFill="1" applyBorder="1" applyAlignment="1">
      <alignment horizontal="center" vertical="center" wrapText="1"/>
    </xf>
    <xf numFmtId="179" fontId="7" fillId="10" borderId="1" xfId="0" applyNumberFormat="1" applyFont="1" applyFill="1" applyBorder="1" applyAlignment="1">
      <alignment horizontal="left" vertical="center" wrapText="1"/>
    </xf>
    <xf numFmtId="182" fontId="9" fillId="10" borderId="1" xfId="0" applyNumberFormat="1" applyFont="1" applyFill="1" applyBorder="1" applyAlignment="1">
      <alignment horizontal="center" vertical="center" wrapText="1"/>
    </xf>
    <xf numFmtId="176" fontId="9" fillId="10" borderId="1" xfId="0" applyNumberFormat="1" applyFont="1" applyFill="1" applyBorder="1" applyAlignment="1">
      <alignment horizontal="center" vertical="center" wrapText="1"/>
    </xf>
    <xf numFmtId="178" fontId="6" fillId="0" borderId="1" xfId="0" applyNumberFormat="1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 wrapText="1"/>
    </xf>
    <xf numFmtId="178" fontId="6" fillId="0" borderId="1" xfId="0" applyNumberFormat="1" applyFont="1" applyFill="1" applyBorder="1" applyAlignment="1">
      <alignment horizontal="left" vertical="center" wrapText="1"/>
    </xf>
    <xf numFmtId="179" fontId="6" fillId="0" borderId="1" xfId="0" applyNumberFormat="1" applyFont="1" applyFill="1" applyBorder="1" applyAlignment="1">
      <alignment horizontal="left" vertical="center" wrapText="1"/>
    </xf>
    <xf numFmtId="182" fontId="7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left" vertical="center" wrapText="1"/>
    </xf>
    <xf numFmtId="178" fontId="6" fillId="0" borderId="1" xfId="1" applyNumberFormat="1" applyFont="1" applyFill="1" applyBorder="1" applyAlignment="1">
      <alignment horizontal="center" vertical="center" wrapText="1"/>
    </xf>
    <xf numFmtId="179" fontId="7" fillId="0" borderId="1" xfId="1" applyNumberFormat="1" applyFont="1" applyFill="1" applyBorder="1" applyAlignment="1">
      <alignment horizontal="left" vertical="center" wrapText="1"/>
    </xf>
    <xf numFmtId="179" fontId="10" fillId="0" borderId="1" xfId="1" applyNumberFormat="1" applyFont="1" applyFill="1" applyBorder="1" applyAlignment="1">
      <alignment horizontal="left" vertical="center" wrapText="1"/>
    </xf>
    <xf numFmtId="178" fontId="10" fillId="0" borderId="1" xfId="0" applyNumberFormat="1" applyFont="1" applyFill="1" applyBorder="1" applyAlignment="1">
      <alignment horizontal="center" vertical="center" wrapText="1"/>
    </xf>
    <xf numFmtId="181" fontId="6" fillId="0" borderId="0" xfId="0" applyNumberFormat="1" applyFont="1" applyFill="1" applyBorder="1" applyAlignment="1">
      <alignment horizontal="left" vertical="center" wrapText="1"/>
    </xf>
    <xf numFmtId="176" fontId="10" fillId="0" borderId="1" xfId="0" applyNumberFormat="1" applyFont="1" applyFill="1" applyBorder="1" applyAlignment="1">
      <alignment horizontal="center" vertical="center" wrapText="1"/>
    </xf>
    <xf numFmtId="176" fontId="11" fillId="0" borderId="1" xfId="0" applyNumberFormat="1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178" fontId="6" fillId="0" borderId="1" xfId="1" applyNumberFormat="1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5" fillId="0" borderId="0" xfId="0" applyFont="1" applyFill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178" fontId="14" fillId="13" borderId="1" xfId="0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178" fontId="15" fillId="0" borderId="1" xfId="0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left" vertical="center" wrapText="1"/>
    </xf>
    <xf numFmtId="0" fontId="15" fillId="0" borderId="0" xfId="0" applyFont="1" applyFill="1" applyAlignment="1">
      <alignment vertical="center"/>
    </xf>
    <xf numFmtId="178" fontId="15" fillId="0" borderId="0" xfId="0" applyNumberFormat="1" applyFont="1" applyFill="1" applyAlignment="1">
      <alignment horizontal="center" vertical="center" wrapText="1"/>
    </xf>
    <xf numFmtId="0" fontId="15" fillId="0" borderId="0" xfId="0" applyFont="1" applyFill="1" applyAlignment="1">
      <alignment horizontal="left" vertical="center" wrapText="1"/>
    </xf>
    <xf numFmtId="182" fontId="14" fillId="13" borderId="1" xfId="0" applyNumberFormat="1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 wrapText="1"/>
    </xf>
    <xf numFmtId="182" fontId="15" fillId="0" borderId="1" xfId="0" applyNumberFormat="1" applyFont="1" applyFill="1" applyBorder="1" applyAlignment="1">
      <alignment horizontal="center" vertical="center" wrapText="1"/>
    </xf>
    <xf numFmtId="182" fontId="15" fillId="0" borderId="0" xfId="0" applyNumberFormat="1" applyFont="1" applyFill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178" fontId="6" fillId="0" borderId="1" xfId="0" applyNumberFormat="1" applyFont="1" applyFill="1" applyBorder="1" applyAlignment="1">
      <alignment horizontal="center" vertical="center" wrapText="1"/>
    </xf>
    <xf numFmtId="0" fontId="7" fillId="12" borderId="10" xfId="0" applyFont="1" applyFill="1" applyBorder="1" applyAlignment="1">
      <alignment horizontal="center" vertical="center" wrapText="1"/>
    </xf>
    <xf numFmtId="0" fontId="7" fillId="12" borderId="0" xfId="0" applyFont="1" applyFill="1" applyAlignment="1">
      <alignment horizontal="center" vertical="center" wrapText="1"/>
    </xf>
    <xf numFmtId="0" fontId="7" fillId="12" borderId="5" xfId="0" applyFont="1" applyFill="1" applyBorder="1" applyAlignment="1">
      <alignment horizontal="center" vertical="center" wrapText="1"/>
    </xf>
    <xf numFmtId="0" fontId="7" fillId="12" borderId="6" xfId="0" applyFont="1" applyFill="1" applyBorder="1" applyAlignment="1">
      <alignment horizontal="center" vertical="center" wrapText="1"/>
    </xf>
    <xf numFmtId="178" fontId="7" fillId="12" borderId="6" xfId="0" applyNumberFormat="1" applyFont="1" applyFill="1" applyBorder="1" applyAlignment="1">
      <alignment horizontal="center" vertical="center" wrapText="1"/>
    </xf>
    <xf numFmtId="0" fontId="7" fillId="12" borderId="7" xfId="0" applyFont="1" applyFill="1" applyBorder="1" applyAlignment="1">
      <alignment horizontal="center" vertical="center" wrapText="1"/>
    </xf>
    <xf numFmtId="180" fontId="8" fillId="0" borderId="0" xfId="0" applyNumberFormat="1" applyFont="1" applyFill="1" applyAlignment="1">
      <alignment horizontal="center" vertical="center" wrapText="1"/>
    </xf>
    <xf numFmtId="182" fontId="8" fillId="0" borderId="0" xfId="0" applyNumberFormat="1" applyFont="1" applyFill="1" applyAlignment="1">
      <alignment horizontal="center" vertical="center" wrapText="1"/>
    </xf>
    <xf numFmtId="176" fontId="8" fillId="0" borderId="0" xfId="0" applyNumberFormat="1" applyFont="1" applyFill="1" applyAlignment="1">
      <alignment horizontal="center" vertical="center" wrapText="1"/>
    </xf>
    <xf numFmtId="179" fontId="8" fillId="0" borderId="0" xfId="0" applyNumberFormat="1" applyFont="1" applyFill="1" applyAlignment="1">
      <alignment horizontal="left" vertical="center" wrapText="1"/>
    </xf>
    <xf numFmtId="180" fontId="6" fillId="0" borderId="8" xfId="0" applyNumberFormat="1" applyFont="1" applyFill="1" applyBorder="1" applyAlignment="1">
      <alignment horizontal="left" vertical="center" wrapText="1"/>
    </xf>
    <xf numFmtId="182" fontId="6" fillId="0" borderId="8" xfId="0" applyNumberFormat="1" applyFont="1" applyFill="1" applyBorder="1" applyAlignment="1">
      <alignment horizontal="left" vertical="center" wrapText="1"/>
    </xf>
    <xf numFmtId="176" fontId="6" fillId="0" borderId="8" xfId="0" applyNumberFormat="1" applyFont="1" applyFill="1" applyBorder="1" applyAlignment="1">
      <alignment horizontal="left" vertical="center" wrapText="1"/>
    </xf>
    <xf numFmtId="180" fontId="6" fillId="0" borderId="0" xfId="0" applyNumberFormat="1" applyFont="1" applyFill="1" applyAlignment="1">
      <alignment horizontal="left" vertical="center" wrapText="1"/>
    </xf>
    <xf numFmtId="182" fontId="6" fillId="0" borderId="0" xfId="0" applyNumberFormat="1" applyFont="1" applyFill="1" applyAlignment="1">
      <alignment horizontal="left" vertical="center" wrapText="1"/>
    </xf>
    <xf numFmtId="176" fontId="6" fillId="0" borderId="0" xfId="0" applyNumberFormat="1" applyFont="1" applyFill="1" applyAlignment="1">
      <alignment horizontal="left" vertical="center" wrapText="1"/>
    </xf>
    <xf numFmtId="180" fontId="6" fillId="0" borderId="9" xfId="0" applyNumberFormat="1" applyFont="1" applyFill="1" applyBorder="1" applyAlignment="1">
      <alignment horizontal="left" vertical="center" wrapText="1"/>
    </xf>
    <xf numFmtId="182" fontId="6" fillId="0" borderId="9" xfId="0" applyNumberFormat="1" applyFont="1" applyFill="1" applyBorder="1" applyAlignment="1">
      <alignment horizontal="left" vertical="center" wrapText="1"/>
    </xf>
    <xf numFmtId="176" fontId="6" fillId="0" borderId="9" xfId="0" applyNumberFormat="1" applyFont="1" applyFill="1" applyBorder="1" applyAlignment="1">
      <alignment horizontal="left" vertical="center" wrapText="1"/>
    </xf>
    <xf numFmtId="179" fontId="6" fillId="0" borderId="9" xfId="0" applyNumberFormat="1" applyFont="1" applyFill="1" applyBorder="1" applyAlignment="1">
      <alignment horizontal="left" vertical="center" wrapText="1"/>
    </xf>
    <xf numFmtId="178" fontId="6" fillId="0" borderId="1" xfId="0" applyNumberFormat="1" applyFont="1" applyFill="1" applyBorder="1" applyAlignment="1">
      <alignment horizontal="center" vertical="center" wrapText="1"/>
    </xf>
    <xf numFmtId="178" fontId="6" fillId="0" borderId="1" xfId="0" applyNumberFormat="1" applyFont="1" applyFill="1" applyBorder="1" applyAlignment="1">
      <alignment horizontal="left" vertical="center" wrapText="1"/>
    </xf>
    <xf numFmtId="180" fontId="7" fillId="10" borderId="2" xfId="0" applyNumberFormat="1" applyFont="1" applyFill="1" applyBorder="1" applyAlignment="1">
      <alignment horizontal="center" vertical="center" wrapText="1"/>
    </xf>
    <xf numFmtId="180" fontId="7" fillId="10" borderId="4" xfId="0" applyNumberFormat="1" applyFont="1" applyFill="1" applyBorder="1" applyAlignment="1">
      <alignment horizontal="center" vertical="center" wrapText="1"/>
    </xf>
    <xf numFmtId="180" fontId="7" fillId="10" borderId="3" xfId="0" applyNumberFormat="1" applyFont="1" applyFill="1" applyBorder="1" applyAlignment="1">
      <alignment horizontal="center" vertical="center" wrapText="1"/>
    </xf>
    <xf numFmtId="180" fontId="7" fillId="0" borderId="2" xfId="0" applyNumberFormat="1" applyFont="1" applyFill="1" applyBorder="1" applyAlignment="1">
      <alignment horizontal="center" vertical="center" wrapText="1"/>
    </xf>
    <xf numFmtId="180" fontId="7" fillId="0" borderId="4" xfId="0" applyNumberFormat="1" applyFont="1" applyFill="1" applyBorder="1" applyAlignment="1">
      <alignment horizontal="center" vertical="center" wrapText="1"/>
    </xf>
    <xf numFmtId="180" fontId="7" fillId="0" borderId="3" xfId="0" applyNumberFormat="1" applyFont="1" applyFill="1" applyBorder="1" applyAlignment="1">
      <alignment horizontal="center" vertical="center" wrapText="1"/>
    </xf>
    <xf numFmtId="58" fontId="6" fillId="0" borderId="2" xfId="0" applyNumberFormat="1" applyFont="1" applyFill="1" applyBorder="1" applyAlignment="1">
      <alignment horizontal="center" vertical="center" wrapText="1"/>
    </xf>
    <xf numFmtId="58" fontId="6" fillId="0" borderId="4" xfId="0" applyNumberFormat="1" applyFont="1" applyFill="1" applyBorder="1" applyAlignment="1">
      <alignment horizontal="center" vertical="center" wrapText="1"/>
    </xf>
    <xf numFmtId="58" fontId="6" fillId="0" borderId="3" xfId="0" applyNumberFormat="1" applyFont="1" applyFill="1" applyBorder="1" applyAlignment="1">
      <alignment horizontal="center" vertical="center" wrapText="1"/>
    </xf>
    <xf numFmtId="181" fontId="7" fillId="0" borderId="2" xfId="0" applyNumberFormat="1" applyFont="1" applyFill="1" applyBorder="1" applyAlignment="1">
      <alignment horizontal="center" vertical="center" wrapText="1"/>
    </xf>
    <xf numFmtId="181" fontId="7" fillId="0" borderId="4" xfId="0" applyNumberFormat="1" applyFont="1" applyFill="1" applyBorder="1" applyAlignment="1">
      <alignment horizontal="center" vertical="center" wrapText="1"/>
    </xf>
    <xf numFmtId="181" fontId="7" fillId="0" borderId="3" xfId="0" applyNumberFormat="1" applyFont="1" applyFill="1" applyBorder="1" applyAlignment="1">
      <alignment horizontal="center" vertical="center" wrapText="1"/>
    </xf>
    <xf numFmtId="181" fontId="11" fillId="0" borderId="2" xfId="0" applyNumberFormat="1" applyFont="1" applyFill="1" applyBorder="1" applyAlignment="1">
      <alignment horizontal="center" vertical="center" wrapText="1"/>
    </xf>
    <xf numFmtId="181" fontId="11" fillId="0" borderId="4" xfId="0" applyNumberFormat="1" applyFont="1" applyFill="1" applyBorder="1" applyAlignment="1">
      <alignment horizontal="center" vertical="center" wrapText="1"/>
    </xf>
    <xf numFmtId="181" fontId="11" fillId="0" borderId="3" xfId="0" applyNumberFormat="1" applyFont="1" applyFill="1" applyBorder="1" applyAlignment="1">
      <alignment horizontal="center" vertical="center" wrapText="1"/>
    </xf>
    <xf numFmtId="178" fontId="8" fillId="0" borderId="0" xfId="0" applyNumberFormat="1" applyFont="1" applyFill="1" applyAlignment="1">
      <alignment horizontal="center" vertical="center" wrapText="1"/>
    </xf>
    <xf numFmtId="177" fontId="8" fillId="0" borderId="0" xfId="0" applyNumberFormat="1" applyFont="1" applyFill="1" applyAlignment="1">
      <alignment horizontal="center" vertical="center" wrapText="1"/>
    </xf>
    <xf numFmtId="179" fontId="8" fillId="0" borderId="0" xfId="0" applyNumberFormat="1" applyFont="1" applyFill="1" applyAlignment="1">
      <alignment horizontal="center" vertical="center" wrapText="1"/>
    </xf>
    <xf numFmtId="178" fontId="6" fillId="0" borderId="8" xfId="0" applyNumberFormat="1" applyFont="1" applyFill="1" applyBorder="1" applyAlignment="1">
      <alignment horizontal="left" vertical="center" wrapText="1"/>
    </xf>
    <xf numFmtId="177" fontId="6" fillId="0" borderId="8" xfId="0" applyNumberFormat="1" applyFont="1" applyFill="1" applyBorder="1" applyAlignment="1">
      <alignment horizontal="left" vertical="center" wrapText="1"/>
    </xf>
    <xf numFmtId="178" fontId="6" fillId="0" borderId="0" xfId="0" applyNumberFormat="1" applyFont="1" applyFill="1" applyAlignment="1">
      <alignment horizontal="left" vertical="center" wrapText="1"/>
    </xf>
    <xf numFmtId="177" fontId="6" fillId="0" borderId="0" xfId="0" applyNumberFormat="1" applyFont="1" applyFill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180" fontId="6" fillId="3" borderId="2" xfId="0" applyNumberFormat="1" applyFont="1" applyFill="1" applyBorder="1" applyAlignment="1">
      <alignment horizontal="center" vertical="center" wrapText="1"/>
    </xf>
    <xf numFmtId="181" fontId="6" fillId="10" borderId="2" xfId="0" applyNumberFormat="1" applyFont="1" applyFill="1" applyBorder="1" applyAlignment="1">
      <alignment horizontal="center" vertical="center" wrapText="1"/>
    </xf>
    <xf numFmtId="181" fontId="6" fillId="10" borderId="2" xfId="0" applyNumberFormat="1" applyFont="1" applyFill="1" applyBorder="1" applyAlignment="1">
      <alignment horizontal="left" vertical="center" wrapText="1"/>
    </xf>
    <xf numFmtId="178" fontId="6" fillId="10" borderId="2" xfId="0" applyNumberFormat="1" applyFont="1" applyFill="1" applyBorder="1" applyAlignment="1">
      <alignment horizontal="left" vertical="center" wrapText="1"/>
    </xf>
    <xf numFmtId="178" fontId="6" fillId="10" borderId="2" xfId="0" applyNumberFormat="1" applyFont="1" applyFill="1" applyBorder="1" applyAlignment="1">
      <alignment horizontal="center" vertical="center" wrapText="1"/>
    </xf>
    <xf numFmtId="177" fontId="6" fillId="10" borderId="2" xfId="0" applyNumberFormat="1" applyFont="1" applyFill="1" applyBorder="1" applyAlignment="1">
      <alignment horizontal="center" vertical="center" wrapText="1"/>
    </xf>
    <xf numFmtId="179" fontId="6" fillId="10" borderId="2" xfId="0" applyNumberFormat="1" applyFont="1" applyFill="1" applyBorder="1" applyAlignment="1">
      <alignment horizontal="center" vertical="center" wrapText="1"/>
    </xf>
    <xf numFmtId="180" fontId="6" fillId="0" borderId="2" xfId="0" applyNumberFormat="1" applyFont="1" applyFill="1" applyBorder="1" applyAlignment="1">
      <alignment horizontal="center" vertical="center" wrapText="1"/>
    </xf>
    <xf numFmtId="181" fontId="6" fillId="0" borderId="2" xfId="0" applyNumberFormat="1" applyFont="1" applyFill="1" applyBorder="1" applyAlignment="1">
      <alignment horizontal="center" vertical="center" wrapText="1"/>
    </xf>
    <xf numFmtId="182" fontId="6" fillId="0" borderId="2" xfId="0" applyNumberFormat="1" applyFont="1" applyFill="1" applyBorder="1" applyAlignment="1">
      <alignment horizontal="center" vertical="center" wrapText="1"/>
    </xf>
    <xf numFmtId="176" fontId="6" fillId="0" borderId="2" xfId="0" applyNumberFormat="1" applyFont="1" applyFill="1" applyBorder="1" applyAlignment="1">
      <alignment horizontal="center" vertical="center" wrapText="1"/>
    </xf>
    <xf numFmtId="179" fontId="6" fillId="0" borderId="2" xfId="0" applyNumberFormat="1" applyFont="1" applyFill="1" applyBorder="1" applyAlignment="1">
      <alignment horizontal="left"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colors>
    <mruColors>
      <color rgb="FFCC66FF"/>
      <color rgb="FFE28BE7"/>
      <color rgb="FFE5C5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6"/>
  <sheetViews>
    <sheetView showGridLines="0" tabSelected="1" topLeftCell="A3" workbookViewId="0">
      <selection activeCell="H6" sqref="H6"/>
    </sheetView>
  </sheetViews>
  <sheetFormatPr baseColWidth="10" defaultColWidth="10" defaultRowHeight="20" customHeight="1"/>
  <cols>
    <col min="1" max="1" width="10" style="90"/>
    <col min="2" max="2" width="9.6640625" style="90" customWidth="1"/>
    <col min="3" max="3" width="14.83203125" style="90" customWidth="1"/>
    <col min="4" max="4" width="13.83203125" style="90" customWidth="1"/>
    <col min="5" max="5" width="21.6640625" style="90" customWidth="1"/>
    <col min="6" max="6" width="20.6640625" style="90" customWidth="1"/>
    <col min="7" max="7" width="21" style="102" customWidth="1"/>
    <col min="8" max="8" width="70.1640625" style="98" customWidth="1"/>
    <col min="9" max="16384" width="10" style="90"/>
  </cols>
  <sheetData>
    <row r="1" spans="2:10" ht="78" customHeight="1">
      <c r="B1" s="107" t="s">
        <v>229</v>
      </c>
      <c r="C1" s="108"/>
      <c r="D1" s="108"/>
      <c r="E1" s="108"/>
      <c r="F1" s="108"/>
      <c r="G1" s="108"/>
      <c r="H1" s="108"/>
    </row>
    <row r="2" spans="2:10" ht="20" customHeight="1">
      <c r="B2" s="91" t="s">
        <v>0</v>
      </c>
      <c r="C2" s="91" t="s">
        <v>1</v>
      </c>
      <c r="D2" s="91" t="s">
        <v>2</v>
      </c>
      <c r="E2" s="91" t="s">
        <v>3</v>
      </c>
      <c r="F2" s="91" t="s">
        <v>4</v>
      </c>
      <c r="G2" s="99" t="s">
        <v>5</v>
      </c>
      <c r="H2" s="91" t="s">
        <v>6</v>
      </c>
      <c r="I2" s="100"/>
      <c r="J2" s="100"/>
    </row>
    <row r="3" spans="2:10" ht="89" customHeight="1">
      <c r="B3" s="93">
        <v>1</v>
      </c>
      <c r="C3" s="93" t="s">
        <v>7</v>
      </c>
      <c r="D3" s="93" t="s">
        <v>231</v>
      </c>
      <c r="E3" s="93" t="s">
        <v>9</v>
      </c>
      <c r="F3" s="93" t="s">
        <v>10</v>
      </c>
      <c r="G3" s="101">
        <v>44570</v>
      </c>
      <c r="H3" s="95" t="s">
        <v>11</v>
      </c>
      <c r="I3" s="100"/>
      <c r="J3" s="100"/>
    </row>
    <row r="4" spans="2:10" ht="128" customHeight="1">
      <c r="B4" s="93">
        <v>2</v>
      </c>
      <c r="C4" s="93" t="s">
        <v>12</v>
      </c>
      <c r="D4" s="93" t="s">
        <v>13</v>
      </c>
      <c r="E4" s="93" t="s">
        <v>14</v>
      </c>
      <c r="F4" s="93" t="s">
        <v>15</v>
      </c>
      <c r="G4" s="101">
        <v>44577</v>
      </c>
      <c r="H4" s="95" t="s">
        <v>16</v>
      </c>
    </row>
    <row r="5" spans="2:10" ht="200" customHeight="1">
      <c r="B5" s="93">
        <v>3</v>
      </c>
      <c r="C5" s="93" t="s">
        <v>7</v>
      </c>
      <c r="D5" s="93" t="s">
        <v>231</v>
      </c>
      <c r="E5" s="93" t="s">
        <v>230</v>
      </c>
      <c r="F5" s="93" t="s">
        <v>10</v>
      </c>
      <c r="G5" s="101">
        <v>44591</v>
      </c>
      <c r="H5" s="95" t="s">
        <v>232</v>
      </c>
    </row>
    <row r="6" spans="2:10" ht="90" customHeight="1">
      <c r="B6" s="93">
        <v>4</v>
      </c>
      <c r="C6" s="93" t="s">
        <v>251</v>
      </c>
      <c r="D6" s="93" t="s">
        <v>231</v>
      </c>
      <c r="E6" s="93" t="s">
        <v>252</v>
      </c>
      <c r="F6" s="93" t="s">
        <v>250</v>
      </c>
      <c r="G6" s="101">
        <v>44619</v>
      </c>
      <c r="H6" s="95" t="s">
        <v>253</v>
      </c>
    </row>
  </sheetData>
  <mergeCells count="1">
    <mergeCell ref="B1:H1"/>
  </mergeCells>
  <phoneticPr fontId="13" type="noConversion"/>
  <pageMargins left="0.75" right="0.75" top="1" bottom="1" header="0.51180555555555596" footer="0.5118055555555559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B11"/>
  <sheetViews>
    <sheetView showGridLines="0" topLeftCell="A6" workbookViewId="0">
      <selection activeCell="G11" sqref="G11"/>
    </sheetView>
  </sheetViews>
  <sheetFormatPr baseColWidth="10" defaultColWidth="10" defaultRowHeight="20" customHeight="1"/>
  <cols>
    <col min="1" max="1" width="9.6640625" style="90" customWidth="1"/>
    <col min="2" max="2" width="14.83203125" style="90" customWidth="1"/>
    <col min="3" max="3" width="24.1640625" style="90" customWidth="1"/>
    <col min="4" max="4" width="16.33203125" style="90" customWidth="1"/>
    <col min="5" max="5" width="20.6640625" style="90" customWidth="1"/>
    <col min="6" max="6" width="21" style="97" customWidth="1"/>
    <col min="7" max="7" width="64" style="98" customWidth="1"/>
    <col min="8" max="16382" width="10" style="90"/>
    <col min="16383" max="16384" width="10" style="96"/>
  </cols>
  <sheetData>
    <row r="1" spans="1:7" s="90" customFormat="1" ht="78" customHeight="1">
      <c r="A1" s="109" t="s">
        <v>223</v>
      </c>
      <c r="B1" s="110"/>
      <c r="C1" s="110"/>
      <c r="D1" s="110"/>
      <c r="E1" s="110"/>
      <c r="F1" s="111"/>
      <c r="G1" s="112"/>
    </row>
    <row r="2" spans="1:7" s="90" customFormat="1" ht="20" customHeight="1">
      <c r="A2" s="91" t="s">
        <v>0</v>
      </c>
      <c r="B2" s="91" t="s">
        <v>17</v>
      </c>
      <c r="C2" s="91" t="s">
        <v>18</v>
      </c>
      <c r="D2" s="91" t="s">
        <v>19</v>
      </c>
      <c r="E2" s="91" t="s">
        <v>20</v>
      </c>
      <c r="F2" s="92" t="s">
        <v>21</v>
      </c>
      <c r="G2" s="91" t="s">
        <v>22</v>
      </c>
    </row>
    <row r="3" spans="1:7" s="90" customFormat="1" ht="141" customHeight="1">
      <c r="A3" s="93">
        <v>1</v>
      </c>
      <c r="B3" s="93" t="s">
        <v>23</v>
      </c>
      <c r="C3" s="93" t="s">
        <v>24</v>
      </c>
      <c r="D3" s="93" t="s">
        <v>8</v>
      </c>
      <c r="E3" s="93" t="s">
        <v>25</v>
      </c>
      <c r="F3" s="94">
        <v>44575</v>
      </c>
      <c r="G3" s="95" t="s">
        <v>26</v>
      </c>
    </row>
    <row r="4" spans="1:7" ht="96" customHeight="1">
      <c r="A4" s="93">
        <v>2</v>
      </c>
      <c r="B4" s="93" t="s">
        <v>27</v>
      </c>
      <c r="C4" s="93" t="s">
        <v>28</v>
      </c>
      <c r="D4" s="93" t="s">
        <v>226</v>
      </c>
      <c r="E4" s="93" t="s">
        <v>30</v>
      </c>
      <c r="F4" s="94">
        <v>44582</v>
      </c>
      <c r="G4" s="95" t="s">
        <v>31</v>
      </c>
    </row>
    <row r="5" spans="1:7" ht="20" customHeight="1">
      <c r="A5" s="93">
        <v>3</v>
      </c>
      <c r="B5" s="93" t="s">
        <v>32</v>
      </c>
      <c r="C5" s="93" t="s">
        <v>33</v>
      </c>
      <c r="D5" s="93" t="s">
        <v>34</v>
      </c>
      <c r="E5" s="93" t="s">
        <v>35</v>
      </c>
      <c r="F5" s="94">
        <v>44583</v>
      </c>
      <c r="G5" s="95" t="s">
        <v>36</v>
      </c>
    </row>
    <row r="6" spans="1:7" ht="143" customHeight="1">
      <c r="A6" s="93">
        <v>4</v>
      </c>
      <c r="B6" s="93" t="s">
        <v>225</v>
      </c>
      <c r="C6" s="93" t="s">
        <v>224</v>
      </c>
      <c r="D6" s="93" t="s">
        <v>226</v>
      </c>
      <c r="E6" s="93" t="s">
        <v>227</v>
      </c>
      <c r="F6" s="94">
        <v>44596</v>
      </c>
      <c r="G6" s="95" t="s">
        <v>228</v>
      </c>
    </row>
    <row r="7" spans="1:7" ht="160" customHeight="1">
      <c r="A7" s="93">
        <v>5</v>
      </c>
      <c r="B7" s="93" t="s">
        <v>234</v>
      </c>
      <c r="C7" s="93" t="s">
        <v>235</v>
      </c>
      <c r="D7" s="93" t="s">
        <v>34</v>
      </c>
      <c r="E7" s="93" t="s">
        <v>236</v>
      </c>
      <c r="F7" s="94">
        <v>44603</v>
      </c>
      <c r="G7" s="95" t="s">
        <v>237</v>
      </c>
    </row>
    <row r="8" spans="1:7" ht="54" customHeight="1">
      <c r="A8" s="93">
        <v>6</v>
      </c>
      <c r="B8" s="93" t="s">
        <v>27</v>
      </c>
      <c r="C8" s="93" t="s">
        <v>238</v>
      </c>
      <c r="D8" s="93" t="s">
        <v>8</v>
      </c>
      <c r="E8" s="93" t="s">
        <v>239</v>
      </c>
      <c r="F8" s="94">
        <v>44603</v>
      </c>
      <c r="G8" s="95" t="s">
        <v>240</v>
      </c>
    </row>
    <row r="9" spans="1:7" ht="104" customHeight="1">
      <c r="A9" s="93">
        <v>7</v>
      </c>
      <c r="B9" s="93" t="s">
        <v>27</v>
      </c>
      <c r="C9" s="93" t="s">
        <v>244</v>
      </c>
      <c r="D9" s="93" t="s">
        <v>8</v>
      </c>
      <c r="E9" s="93" t="s">
        <v>247</v>
      </c>
      <c r="F9" s="94">
        <v>44610</v>
      </c>
      <c r="G9" s="95" t="s">
        <v>248</v>
      </c>
    </row>
    <row r="10" spans="1:7" ht="78" customHeight="1">
      <c r="A10" s="93">
        <v>8</v>
      </c>
      <c r="B10" s="93" t="s">
        <v>27</v>
      </c>
      <c r="C10" s="93" t="s">
        <v>245</v>
      </c>
      <c r="D10" s="93" t="s">
        <v>226</v>
      </c>
      <c r="E10" s="93" t="s">
        <v>236</v>
      </c>
      <c r="F10" s="94">
        <v>44611</v>
      </c>
      <c r="G10" s="95" t="s">
        <v>249</v>
      </c>
    </row>
    <row r="11" spans="1:7" ht="20" customHeight="1">
      <c r="A11" s="93">
        <v>9</v>
      </c>
      <c r="B11" s="93" t="s">
        <v>27</v>
      </c>
      <c r="C11" s="93" t="s">
        <v>246</v>
      </c>
      <c r="D11" s="93" t="s">
        <v>226</v>
      </c>
      <c r="E11" s="93" t="s">
        <v>236</v>
      </c>
      <c r="F11" s="94">
        <v>44619</v>
      </c>
      <c r="G11" s="95"/>
    </row>
  </sheetData>
  <mergeCells count="1">
    <mergeCell ref="A1:G1"/>
  </mergeCells>
  <phoneticPr fontId="13" type="noConversion"/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87"/>
  <sheetViews>
    <sheetView showGridLines="0" topLeftCell="A4" zoomScale="66" zoomScaleNormal="66" workbookViewId="0">
      <selection activeCell="G9" sqref="G9"/>
    </sheetView>
  </sheetViews>
  <sheetFormatPr baseColWidth="10" defaultColWidth="9.6640625" defaultRowHeight="30" customHeight="1"/>
  <cols>
    <col min="1" max="1" width="7.5" style="26" customWidth="1"/>
    <col min="2" max="2" width="12.6640625" style="28" customWidth="1"/>
    <col min="3" max="3" width="20.33203125" style="28" customWidth="1"/>
    <col min="4" max="4" width="50" style="26" customWidth="1"/>
    <col min="5" max="5" width="27.5" style="53" customWidth="1"/>
    <col min="6" max="6" width="20.33203125" style="54" customWidth="1"/>
    <col min="7" max="7" width="95.1640625" style="55" customWidth="1"/>
    <col min="8" max="8" width="31.83203125" style="56" customWidth="1"/>
    <col min="9" max="9" width="27" style="29" customWidth="1"/>
    <col min="10" max="10" width="64" style="26" customWidth="1"/>
    <col min="11" max="11" width="19" style="26" customWidth="1"/>
    <col min="12" max="16384" width="9.6640625" style="26"/>
  </cols>
  <sheetData>
    <row r="1" spans="2:10" ht="37" customHeight="1">
      <c r="B1" s="113" t="s">
        <v>37</v>
      </c>
      <c r="C1" s="113"/>
      <c r="D1" s="113"/>
      <c r="E1" s="114"/>
      <c r="F1" s="115"/>
      <c r="G1" s="116"/>
    </row>
    <row r="2" spans="2:10" ht="237" customHeight="1">
      <c r="B2" s="117" t="s">
        <v>38</v>
      </c>
      <c r="C2" s="117"/>
      <c r="D2" s="117"/>
      <c r="E2" s="118"/>
      <c r="F2" s="119"/>
      <c r="G2" s="117"/>
    </row>
    <row r="3" spans="2:10" ht="88" customHeight="1">
      <c r="B3" s="120" t="s">
        <v>39</v>
      </c>
      <c r="C3" s="120"/>
      <c r="D3" s="120"/>
      <c r="E3" s="121"/>
      <c r="F3" s="122"/>
      <c r="G3" s="120"/>
    </row>
    <row r="4" spans="2:10" ht="93" customHeight="1">
      <c r="B4" s="123" t="s">
        <v>40</v>
      </c>
      <c r="C4" s="123"/>
      <c r="D4" s="123"/>
      <c r="E4" s="124"/>
      <c r="F4" s="125"/>
      <c r="G4" s="126"/>
    </row>
    <row r="5" spans="2:10" s="27" customFormat="1" ht="50" customHeight="1">
      <c r="B5" s="33" t="s">
        <v>0</v>
      </c>
      <c r="C5" s="34" t="s">
        <v>41</v>
      </c>
      <c r="D5" s="34" t="s">
        <v>42</v>
      </c>
      <c r="E5" s="61" t="s">
        <v>43</v>
      </c>
      <c r="F5" s="62" t="s">
        <v>44</v>
      </c>
      <c r="G5" s="47" t="s">
        <v>45</v>
      </c>
      <c r="H5" s="63" t="s">
        <v>46</v>
      </c>
      <c r="I5" s="63" t="s">
        <v>47</v>
      </c>
      <c r="J5" s="48"/>
    </row>
    <row r="6" spans="2:10" ht="50" customHeight="1">
      <c r="B6" s="166">
        <v>1</v>
      </c>
      <c r="C6" s="167" t="s">
        <v>48</v>
      </c>
      <c r="D6" s="167" t="s">
        <v>49</v>
      </c>
      <c r="E6" s="168">
        <v>44544</v>
      </c>
      <c r="F6" s="169">
        <v>20</v>
      </c>
      <c r="G6" s="170" t="s">
        <v>50</v>
      </c>
      <c r="H6" s="106"/>
      <c r="I6" s="106"/>
    </row>
    <row r="7" spans="2:10" ht="50" customHeight="1">
      <c r="B7" s="166">
        <v>2</v>
      </c>
      <c r="C7" s="167" t="s">
        <v>48</v>
      </c>
      <c r="D7" s="167" t="s">
        <v>49</v>
      </c>
      <c r="E7" s="168">
        <v>44550</v>
      </c>
      <c r="F7" s="169">
        <v>15</v>
      </c>
      <c r="G7" s="170" t="s">
        <v>51</v>
      </c>
      <c r="H7" s="106"/>
      <c r="I7" s="106"/>
    </row>
    <row r="8" spans="2:10" ht="50" customHeight="1">
      <c r="B8" s="166">
        <v>3</v>
      </c>
      <c r="C8" s="167" t="s">
        <v>48</v>
      </c>
      <c r="D8" s="167" t="s">
        <v>49</v>
      </c>
      <c r="E8" s="168">
        <v>44560</v>
      </c>
      <c r="F8" s="169">
        <v>25</v>
      </c>
      <c r="G8" s="77" t="s">
        <v>52</v>
      </c>
      <c r="H8" s="106"/>
      <c r="I8" s="106"/>
    </row>
    <row r="9" spans="2:10" ht="50" customHeight="1">
      <c r="B9" s="166">
        <v>4</v>
      </c>
      <c r="C9" s="167" t="s">
        <v>48</v>
      </c>
      <c r="D9" s="167" t="s">
        <v>49</v>
      </c>
      <c r="E9" s="168">
        <v>44561</v>
      </c>
      <c r="F9" s="169">
        <v>30</v>
      </c>
      <c r="G9" s="77" t="s">
        <v>53</v>
      </c>
      <c r="H9" s="106"/>
      <c r="I9" s="106"/>
    </row>
    <row r="10" spans="2:10" ht="50" customHeight="1">
      <c r="B10" s="166">
        <v>5</v>
      </c>
      <c r="C10" s="167" t="s">
        <v>48</v>
      </c>
      <c r="D10" s="167" t="s">
        <v>49</v>
      </c>
      <c r="E10" s="168">
        <v>44564</v>
      </c>
      <c r="F10" s="169" t="s">
        <v>54</v>
      </c>
      <c r="G10" s="77" t="s">
        <v>55</v>
      </c>
      <c r="H10" s="106"/>
      <c r="I10" s="106"/>
    </row>
    <row r="11" spans="2:10" ht="50" customHeight="1">
      <c r="B11" s="166">
        <v>5</v>
      </c>
      <c r="C11" s="167" t="s">
        <v>48</v>
      </c>
      <c r="D11" s="167" t="s">
        <v>49</v>
      </c>
      <c r="E11" s="168">
        <v>44569</v>
      </c>
      <c r="F11" s="169" t="s">
        <v>54</v>
      </c>
      <c r="G11" s="77" t="s">
        <v>56</v>
      </c>
      <c r="H11" s="106"/>
      <c r="I11" s="106"/>
    </row>
    <row r="12" spans="2:10" s="27" customFormat="1" ht="50" customHeight="1">
      <c r="B12" s="57"/>
      <c r="C12" s="58"/>
      <c r="D12" s="58"/>
      <c r="E12" s="64"/>
      <c r="F12" s="65"/>
      <c r="G12" s="67"/>
      <c r="H12" s="66"/>
      <c r="I12" s="66"/>
    </row>
    <row r="13" spans="2:10" s="27" customFormat="1" ht="50" customHeight="1">
      <c r="B13" s="57"/>
      <c r="C13" s="58"/>
      <c r="D13" s="58"/>
      <c r="E13" s="64"/>
      <c r="F13" s="65"/>
      <c r="G13" s="67"/>
      <c r="H13" s="66"/>
      <c r="I13" s="66"/>
    </row>
    <row r="14" spans="2:10" s="27" customFormat="1" ht="50" customHeight="1">
      <c r="B14" s="57"/>
      <c r="C14" s="58"/>
      <c r="D14" s="58"/>
      <c r="E14" s="64"/>
      <c r="F14" s="65"/>
      <c r="G14" s="67"/>
      <c r="H14" s="66"/>
      <c r="I14" s="66"/>
    </row>
    <row r="15" spans="2:10" s="27" customFormat="1" ht="50" customHeight="1">
      <c r="B15" s="57"/>
      <c r="C15" s="58"/>
      <c r="D15" s="58"/>
      <c r="E15" s="64"/>
      <c r="F15" s="65"/>
      <c r="G15" s="67"/>
      <c r="H15" s="66"/>
      <c r="I15" s="66"/>
    </row>
    <row r="16" spans="2:10" s="27" customFormat="1" ht="50" customHeight="1">
      <c r="B16" s="57"/>
      <c r="C16" s="58"/>
      <c r="D16" s="58"/>
      <c r="E16" s="64"/>
      <c r="F16" s="65"/>
      <c r="G16" s="67"/>
      <c r="H16" s="66"/>
      <c r="I16" s="66"/>
    </row>
    <row r="17" spans="2:9" s="27" customFormat="1" ht="50" customHeight="1">
      <c r="B17" s="57"/>
      <c r="C17" s="58"/>
      <c r="D17" s="58"/>
      <c r="E17" s="64"/>
      <c r="F17" s="65"/>
      <c r="G17" s="67"/>
      <c r="H17" s="66"/>
      <c r="I17" s="66"/>
    </row>
    <row r="18" spans="2:9" s="27" customFormat="1" ht="50" customHeight="1">
      <c r="B18" s="57"/>
      <c r="C18" s="58"/>
      <c r="D18" s="58"/>
      <c r="E18" s="64"/>
      <c r="F18" s="65"/>
      <c r="G18" s="67"/>
      <c r="H18" s="66"/>
      <c r="I18" s="66"/>
    </row>
    <row r="19" spans="2:9" s="27" customFormat="1" ht="50" customHeight="1">
      <c r="B19" s="57"/>
      <c r="C19" s="58"/>
      <c r="D19" s="58"/>
      <c r="E19" s="64"/>
      <c r="F19" s="65"/>
      <c r="G19" s="67"/>
      <c r="H19" s="66"/>
      <c r="I19" s="66"/>
    </row>
    <row r="20" spans="2:9" s="27" customFormat="1" ht="50" customHeight="1">
      <c r="B20" s="57"/>
      <c r="C20" s="58"/>
      <c r="D20" s="58"/>
      <c r="E20" s="64"/>
      <c r="F20" s="65"/>
      <c r="G20" s="67"/>
      <c r="H20" s="66"/>
      <c r="I20" s="66"/>
    </row>
    <row r="21" spans="2:9" s="27" customFormat="1" ht="50" customHeight="1">
      <c r="B21" s="57"/>
      <c r="C21" s="58"/>
      <c r="D21" s="58"/>
      <c r="E21" s="64"/>
      <c r="F21" s="65"/>
      <c r="G21" s="67"/>
      <c r="H21" s="66"/>
      <c r="I21" s="66"/>
    </row>
    <row r="22" spans="2:9" s="27" customFormat="1" ht="50" customHeight="1">
      <c r="B22" s="57"/>
      <c r="C22" s="58"/>
      <c r="D22" s="58"/>
      <c r="E22" s="64"/>
      <c r="F22" s="65"/>
      <c r="G22" s="67"/>
      <c r="H22" s="66"/>
      <c r="I22" s="66"/>
    </row>
    <row r="23" spans="2:9" s="27" customFormat="1" ht="50" customHeight="1">
      <c r="B23" s="57"/>
      <c r="C23" s="58"/>
      <c r="D23" s="58"/>
      <c r="E23" s="64"/>
      <c r="F23" s="65"/>
      <c r="G23" s="67"/>
      <c r="H23" s="66"/>
      <c r="I23" s="66"/>
    </row>
    <row r="24" spans="2:9" s="27" customFormat="1" ht="50" customHeight="1">
      <c r="B24" s="57"/>
      <c r="C24" s="58"/>
      <c r="D24" s="58"/>
      <c r="E24" s="64"/>
      <c r="F24" s="65"/>
      <c r="G24" s="67"/>
      <c r="H24" s="66"/>
      <c r="I24" s="66"/>
    </row>
    <row r="25" spans="2:9" s="27" customFormat="1" ht="50" customHeight="1">
      <c r="B25" s="57"/>
      <c r="C25" s="58"/>
      <c r="D25" s="58"/>
      <c r="E25" s="64"/>
      <c r="F25" s="65"/>
      <c r="G25" s="67"/>
      <c r="H25" s="66"/>
      <c r="I25" s="66"/>
    </row>
    <row r="26" spans="2:9" s="27" customFormat="1" ht="50" customHeight="1">
      <c r="B26" s="57"/>
      <c r="C26" s="58"/>
      <c r="D26" s="58"/>
      <c r="E26" s="64"/>
      <c r="F26" s="65"/>
      <c r="G26" s="67"/>
      <c r="H26" s="66"/>
      <c r="I26" s="66"/>
    </row>
    <row r="27" spans="2:9" s="27" customFormat="1" ht="50" customHeight="1">
      <c r="B27" s="33"/>
      <c r="C27" s="34"/>
      <c r="D27" s="34"/>
      <c r="E27" s="61"/>
      <c r="F27" s="62"/>
      <c r="G27" s="68"/>
      <c r="H27" s="66"/>
      <c r="I27" s="66"/>
    </row>
    <row r="28" spans="2:9" s="51" customFormat="1" ht="30" customHeight="1">
      <c r="B28" s="59"/>
      <c r="C28" s="129"/>
      <c r="D28" s="129"/>
      <c r="E28" s="69"/>
      <c r="F28" s="70"/>
      <c r="G28" s="71"/>
      <c r="H28" s="45"/>
      <c r="I28" s="45"/>
    </row>
    <row r="29" spans="2:9" s="51" customFormat="1" ht="30" customHeight="1">
      <c r="B29" s="59"/>
      <c r="C29" s="130"/>
      <c r="D29" s="130"/>
      <c r="E29" s="69"/>
      <c r="F29" s="70"/>
      <c r="G29" s="71"/>
      <c r="H29" s="45"/>
      <c r="I29" s="45"/>
    </row>
    <row r="30" spans="2:9" s="51" customFormat="1" ht="30" customHeight="1">
      <c r="B30" s="59"/>
      <c r="C30" s="130"/>
      <c r="D30" s="130"/>
      <c r="E30" s="69"/>
      <c r="F30" s="70"/>
      <c r="G30" s="71"/>
      <c r="H30" s="45"/>
      <c r="I30" s="45"/>
    </row>
    <row r="31" spans="2:9" s="48" customFormat="1" ht="30" customHeight="1">
      <c r="B31" s="59"/>
      <c r="C31" s="130"/>
      <c r="D31" s="130"/>
      <c r="E31" s="69"/>
      <c r="F31" s="70"/>
      <c r="G31" s="71"/>
      <c r="H31" s="66"/>
      <c r="I31" s="66"/>
    </row>
    <row r="32" spans="2:9" s="48" customFormat="1" ht="30" customHeight="1">
      <c r="B32" s="59"/>
      <c r="C32" s="130"/>
      <c r="D32" s="130"/>
      <c r="E32" s="72"/>
      <c r="F32" s="73"/>
      <c r="G32" s="67"/>
      <c r="H32" s="127"/>
      <c r="I32" s="127"/>
    </row>
    <row r="33" spans="2:10" s="48" customFormat="1" ht="30" customHeight="1">
      <c r="B33" s="59"/>
      <c r="C33" s="130"/>
      <c r="D33" s="130"/>
      <c r="E33" s="69"/>
      <c r="F33" s="73"/>
      <c r="G33" s="67"/>
      <c r="H33" s="127"/>
      <c r="I33" s="127"/>
    </row>
    <row r="34" spans="2:10" s="48" customFormat="1" ht="30" customHeight="1">
      <c r="B34" s="59"/>
      <c r="C34" s="130"/>
      <c r="D34" s="130"/>
      <c r="E34" s="69"/>
      <c r="F34" s="75"/>
      <c r="G34" s="67"/>
      <c r="H34" s="128"/>
      <c r="I34" s="128"/>
    </row>
    <row r="35" spans="2:10" s="52" customFormat="1" ht="30" customHeight="1">
      <c r="B35" s="59"/>
      <c r="C35" s="130"/>
      <c r="D35" s="130"/>
      <c r="E35" s="69"/>
      <c r="F35" s="75"/>
      <c r="G35" s="77"/>
      <c r="H35" s="74"/>
      <c r="I35" s="74"/>
    </row>
    <row r="36" spans="2:10" s="52" customFormat="1" ht="30" customHeight="1">
      <c r="B36" s="59"/>
      <c r="C36" s="130"/>
      <c r="D36" s="130"/>
      <c r="E36" s="69"/>
      <c r="F36" s="75"/>
      <c r="G36" s="77"/>
      <c r="H36" s="74"/>
      <c r="I36" s="74"/>
    </row>
    <row r="37" spans="2:10" s="52" customFormat="1" ht="30" customHeight="1">
      <c r="B37" s="59"/>
      <c r="C37" s="131"/>
      <c r="D37" s="131"/>
      <c r="E37" s="69"/>
      <c r="F37" s="75"/>
      <c r="G37" s="77"/>
      <c r="H37" s="127"/>
      <c r="I37" s="127"/>
    </row>
    <row r="38" spans="2:10" s="52" customFormat="1" ht="30" customHeight="1">
      <c r="B38" s="60"/>
      <c r="C38" s="132"/>
      <c r="D38" s="138"/>
      <c r="E38" s="78"/>
      <c r="F38" s="75"/>
      <c r="G38" s="67"/>
      <c r="H38" s="74"/>
      <c r="I38" s="74"/>
    </row>
    <row r="39" spans="2:10" s="52" customFormat="1" ht="30" customHeight="1">
      <c r="B39" s="60"/>
      <c r="C39" s="133"/>
      <c r="D39" s="139"/>
      <c r="E39" s="78"/>
      <c r="F39" s="75"/>
      <c r="G39" s="67"/>
      <c r="H39" s="128"/>
      <c r="I39" s="128"/>
    </row>
    <row r="40" spans="2:10" s="52" customFormat="1" ht="30" customHeight="1">
      <c r="B40" s="60"/>
      <c r="C40" s="133"/>
      <c r="D40" s="139"/>
      <c r="E40" s="78"/>
      <c r="F40" s="75"/>
      <c r="G40" s="67"/>
      <c r="H40" s="74"/>
      <c r="I40" s="76"/>
      <c r="J40" s="84"/>
    </row>
    <row r="41" spans="2:10" s="52" customFormat="1" ht="30" customHeight="1">
      <c r="B41" s="60"/>
      <c r="C41" s="133"/>
      <c r="D41" s="139"/>
      <c r="E41" s="78"/>
      <c r="F41" s="75"/>
      <c r="G41" s="67"/>
      <c r="H41" s="128"/>
      <c r="I41" s="128"/>
      <c r="J41" s="84"/>
    </row>
    <row r="42" spans="2:10" s="52" customFormat="1" ht="30" customHeight="1">
      <c r="B42" s="60"/>
      <c r="C42" s="133"/>
      <c r="D42" s="139"/>
      <c r="E42" s="78"/>
      <c r="F42" s="75"/>
      <c r="G42" s="67"/>
      <c r="H42" s="128"/>
      <c r="I42" s="128"/>
      <c r="J42" s="84"/>
    </row>
    <row r="43" spans="2:10" s="52" customFormat="1" ht="30" customHeight="1">
      <c r="B43" s="60"/>
      <c r="C43" s="133"/>
      <c r="D43" s="139"/>
      <c r="E43" s="78"/>
      <c r="F43" s="75"/>
      <c r="G43" s="67"/>
      <c r="H43" s="128"/>
      <c r="I43" s="128"/>
      <c r="J43" s="84"/>
    </row>
    <row r="44" spans="2:10" s="52" customFormat="1" ht="30" customHeight="1">
      <c r="B44" s="60"/>
      <c r="C44" s="133"/>
      <c r="D44" s="139"/>
      <c r="E44" s="78"/>
      <c r="F44" s="75"/>
      <c r="G44" s="67"/>
      <c r="H44" s="76"/>
      <c r="I44" s="76"/>
      <c r="J44" s="84"/>
    </row>
    <row r="45" spans="2:10" s="52" customFormat="1" ht="30" customHeight="1">
      <c r="B45" s="60"/>
      <c r="C45" s="133"/>
      <c r="D45" s="139"/>
      <c r="E45" s="78"/>
      <c r="F45" s="75"/>
      <c r="G45" s="67"/>
      <c r="H45" s="74"/>
      <c r="I45" s="76"/>
      <c r="J45" s="84"/>
    </row>
    <row r="46" spans="2:10" s="52" customFormat="1" ht="30" customHeight="1">
      <c r="B46" s="60"/>
      <c r="C46" s="133"/>
      <c r="D46" s="139"/>
      <c r="E46" s="78"/>
      <c r="F46" s="75"/>
      <c r="G46" s="67"/>
      <c r="H46" s="74"/>
      <c r="I46" s="76"/>
      <c r="J46" s="84"/>
    </row>
    <row r="47" spans="2:10" s="52" customFormat="1" ht="30" customHeight="1">
      <c r="B47" s="60"/>
      <c r="C47" s="133"/>
      <c r="D47" s="139"/>
      <c r="E47" s="78"/>
      <c r="F47" s="75"/>
      <c r="G47" s="67"/>
      <c r="H47" s="74"/>
      <c r="I47" s="76"/>
      <c r="J47" s="84"/>
    </row>
    <row r="48" spans="2:10" s="52" customFormat="1" ht="30" customHeight="1">
      <c r="B48" s="60"/>
      <c r="C48" s="133"/>
      <c r="D48" s="139"/>
      <c r="E48" s="78"/>
      <c r="F48" s="75"/>
      <c r="G48" s="67"/>
      <c r="H48" s="74"/>
      <c r="I48" s="76"/>
      <c r="J48" s="84"/>
    </row>
    <row r="49" spans="2:9" s="52" customFormat="1" ht="30" customHeight="1">
      <c r="B49" s="60"/>
      <c r="C49" s="133"/>
      <c r="D49" s="139"/>
      <c r="E49" s="78"/>
      <c r="F49" s="75"/>
      <c r="G49" s="67"/>
      <c r="H49" s="74"/>
      <c r="I49" s="74"/>
    </row>
    <row r="50" spans="2:9" s="52" customFormat="1" ht="30" customHeight="1">
      <c r="B50" s="60"/>
      <c r="C50" s="133"/>
      <c r="D50" s="139"/>
      <c r="E50" s="78"/>
      <c r="F50" s="75"/>
      <c r="G50" s="67"/>
      <c r="H50" s="74"/>
      <c r="I50" s="74"/>
    </row>
    <row r="51" spans="2:9" s="52" customFormat="1" ht="30" customHeight="1">
      <c r="B51" s="60"/>
      <c r="C51" s="133"/>
      <c r="D51" s="139"/>
      <c r="E51" s="78"/>
      <c r="F51" s="75"/>
      <c r="G51" s="79"/>
      <c r="H51" s="80"/>
      <c r="I51" s="74"/>
    </row>
    <row r="52" spans="2:9" s="52" customFormat="1" ht="30" customHeight="1">
      <c r="B52" s="60"/>
      <c r="C52" s="133"/>
      <c r="D52" s="139"/>
      <c r="E52" s="78"/>
      <c r="F52" s="75"/>
      <c r="G52" s="79"/>
      <c r="H52" s="80"/>
      <c r="I52" s="74"/>
    </row>
    <row r="53" spans="2:9" s="52" customFormat="1" ht="30" customHeight="1">
      <c r="B53" s="60"/>
      <c r="C53" s="133"/>
      <c r="D53" s="139"/>
      <c r="E53" s="78"/>
      <c r="F53" s="75"/>
      <c r="G53" s="79"/>
      <c r="H53" s="66"/>
      <c r="I53" s="74"/>
    </row>
    <row r="54" spans="2:9" s="52" customFormat="1" ht="30" customHeight="1">
      <c r="B54" s="60"/>
      <c r="C54" s="133"/>
      <c r="D54" s="139"/>
      <c r="E54" s="78"/>
      <c r="F54" s="75"/>
      <c r="G54" s="81"/>
      <c r="H54" s="66"/>
      <c r="I54" s="74"/>
    </row>
    <row r="55" spans="2:9" s="52" customFormat="1" ht="30" customHeight="1">
      <c r="B55" s="60"/>
      <c r="C55" s="133"/>
      <c r="D55" s="139"/>
      <c r="E55" s="78"/>
      <c r="F55" s="75"/>
      <c r="G55" s="82"/>
      <c r="H55" s="83"/>
      <c r="I55" s="74"/>
    </row>
    <row r="56" spans="2:9" s="52" customFormat="1" ht="30" customHeight="1">
      <c r="B56" s="60"/>
      <c r="C56" s="133"/>
      <c r="D56" s="139"/>
      <c r="E56" s="78"/>
      <c r="F56" s="75"/>
      <c r="G56" s="82"/>
      <c r="H56" s="83"/>
      <c r="I56" s="74"/>
    </row>
    <row r="57" spans="2:9" s="52" customFormat="1" ht="30" customHeight="1">
      <c r="B57" s="60"/>
      <c r="C57" s="133"/>
      <c r="D57" s="139"/>
      <c r="E57" s="78"/>
      <c r="F57" s="75"/>
      <c r="G57" s="82"/>
      <c r="H57" s="83"/>
      <c r="I57" s="74"/>
    </row>
    <row r="58" spans="2:9" s="52" customFormat="1" ht="30" customHeight="1">
      <c r="B58" s="60"/>
      <c r="C58" s="133"/>
      <c r="D58" s="139"/>
      <c r="E58" s="78"/>
      <c r="F58" s="75"/>
      <c r="G58" s="82"/>
      <c r="H58" s="83"/>
      <c r="I58" s="74"/>
    </row>
    <row r="59" spans="2:9" s="52" customFormat="1" ht="30" customHeight="1">
      <c r="B59" s="60"/>
      <c r="C59" s="133"/>
      <c r="D59" s="139"/>
      <c r="E59" s="78"/>
      <c r="F59" s="75"/>
      <c r="G59" s="82"/>
      <c r="H59" s="83"/>
      <c r="I59" s="74"/>
    </row>
    <row r="60" spans="2:9" s="52" customFormat="1" ht="30" customHeight="1">
      <c r="B60" s="60"/>
      <c r="C60" s="133"/>
      <c r="D60" s="139"/>
      <c r="E60" s="78"/>
      <c r="F60" s="75"/>
      <c r="G60" s="67"/>
      <c r="H60" s="74"/>
      <c r="I60" s="74"/>
    </row>
    <row r="61" spans="2:9" s="52" customFormat="1" ht="30" customHeight="1">
      <c r="B61" s="60"/>
      <c r="C61" s="133"/>
      <c r="D61" s="139"/>
      <c r="E61" s="78"/>
      <c r="F61" s="75"/>
      <c r="G61" s="67"/>
      <c r="H61" s="80"/>
      <c r="I61" s="74"/>
    </row>
    <row r="62" spans="2:9" s="52" customFormat="1" ht="30" customHeight="1">
      <c r="B62" s="60"/>
      <c r="C62" s="133"/>
      <c r="D62" s="139"/>
      <c r="E62" s="78"/>
      <c r="F62" s="75"/>
      <c r="G62" s="67"/>
      <c r="H62" s="80"/>
      <c r="I62" s="74"/>
    </row>
    <row r="63" spans="2:9" s="52" customFormat="1" ht="30" customHeight="1">
      <c r="B63" s="60"/>
      <c r="C63" s="133"/>
      <c r="D63" s="139"/>
      <c r="E63" s="78"/>
      <c r="F63" s="75"/>
      <c r="G63" s="67"/>
      <c r="H63" s="80"/>
      <c r="I63" s="74"/>
    </row>
    <row r="64" spans="2:9" s="52" customFormat="1" ht="30" customHeight="1">
      <c r="B64" s="60"/>
      <c r="C64" s="133"/>
      <c r="D64" s="139"/>
      <c r="E64" s="78"/>
      <c r="F64" s="75"/>
      <c r="G64" s="67"/>
      <c r="H64" s="80"/>
      <c r="I64" s="74"/>
    </row>
    <row r="65" spans="2:9" s="52" customFormat="1" ht="30" customHeight="1">
      <c r="B65" s="60"/>
      <c r="C65" s="133"/>
      <c r="D65" s="139"/>
      <c r="E65" s="78"/>
      <c r="F65" s="75"/>
      <c r="G65" s="67"/>
      <c r="H65" s="80"/>
      <c r="I65" s="74"/>
    </row>
    <row r="66" spans="2:9" s="52" customFormat="1" ht="30" customHeight="1">
      <c r="B66" s="60"/>
      <c r="C66" s="133"/>
      <c r="D66" s="139"/>
      <c r="E66" s="78"/>
      <c r="F66" s="75"/>
      <c r="G66" s="67"/>
      <c r="H66" s="80"/>
      <c r="I66" s="74"/>
    </row>
    <row r="67" spans="2:9" s="52" customFormat="1" ht="30" customHeight="1">
      <c r="B67" s="60"/>
      <c r="C67" s="134"/>
      <c r="D67" s="140"/>
      <c r="E67" s="78"/>
      <c r="F67" s="85"/>
      <c r="G67" s="67"/>
      <c r="H67" s="80"/>
      <c r="I67" s="74"/>
    </row>
    <row r="68" spans="2:9" s="52" customFormat="1" ht="30" customHeight="1">
      <c r="B68" s="60"/>
      <c r="C68" s="135"/>
      <c r="D68" s="141"/>
      <c r="E68" s="78"/>
      <c r="F68" s="86"/>
      <c r="G68" s="77"/>
      <c r="H68" s="80"/>
      <c r="I68" s="74"/>
    </row>
    <row r="69" spans="2:9" s="52" customFormat="1" ht="30" customHeight="1">
      <c r="B69" s="60"/>
      <c r="C69" s="136"/>
      <c r="D69" s="142"/>
      <c r="E69" s="78"/>
      <c r="F69" s="86"/>
      <c r="G69" s="77"/>
      <c r="H69" s="80"/>
      <c r="I69" s="74"/>
    </row>
    <row r="70" spans="2:9" s="52" customFormat="1" ht="30" customHeight="1">
      <c r="B70" s="60"/>
      <c r="C70" s="136"/>
      <c r="D70" s="142"/>
      <c r="E70" s="78"/>
      <c r="F70" s="86"/>
      <c r="G70" s="77"/>
      <c r="H70" s="80"/>
      <c r="I70" s="74"/>
    </row>
    <row r="71" spans="2:9" s="52" customFormat="1" ht="30" customHeight="1">
      <c r="B71" s="60"/>
      <c r="C71" s="136"/>
      <c r="D71" s="142"/>
      <c r="E71" s="78"/>
      <c r="F71" s="86"/>
      <c r="G71" s="77"/>
      <c r="H71" s="80"/>
      <c r="I71" s="74"/>
    </row>
    <row r="72" spans="2:9" s="52" customFormat="1" ht="30" customHeight="1">
      <c r="B72" s="60"/>
      <c r="C72" s="136"/>
      <c r="D72" s="142"/>
      <c r="E72" s="78"/>
      <c r="F72" s="87"/>
      <c r="G72" s="77"/>
      <c r="H72" s="80"/>
      <c r="I72" s="74"/>
    </row>
    <row r="73" spans="2:9" s="52" customFormat="1" ht="30" customHeight="1">
      <c r="B73" s="60"/>
      <c r="C73" s="136"/>
      <c r="D73" s="142"/>
      <c r="E73" s="78"/>
      <c r="F73" s="87"/>
      <c r="G73" s="77"/>
      <c r="H73" s="80"/>
      <c r="I73" s="74"/>
    </row>
    <row r="74" spans="2:9" s="52" customFormat="1" ht="30" customHeight="1">
      <c r="B74" s="60"/>
      <c r="C74" s="136"/>
      <c r="D74" s="142"/>
      <c r="E74" s="78"/>
      <c r="F74" s="87"/>
      <c r="G74" s="77"/>
      <c r="H74" s="80"/>
      <c r="I74" s="74"/>
    </row>
    <row r="75" spans="2:9" s="52" customFormat="1" ht="30" customHeight="1">
      <c r="B75" s="60"/>
      <c r="C75" s="136"/>
      <c r="D75" s="142"/>
      <c r="E75" s="78"/>
      <c r="F75" s="75"/>
      <c r="G75" s="77"/>
      <c r="H75" s="80"/>
      <c r="I75" s="74"/>
    </row>
    <row r="76" spans="2:9" s="52" customFormat="1" ht="30" customHeight="1">
      <c r="B76" s="60"/>
      <c r="C76" s="136"/>
      <c r="D76" s="142"/>
      <c r="E76" s="78"/>
      <c r="F76" s="85"/>
      <c r="G76" s="77"/>
      <c r="H76" s="80"/>
      <c r="I76" s="74"/>
    </row>
    <row r="77" spans="2:9" s="52" customFormat="1" ht="30" customHeight="1">
      <c r="B77" s="60"/>
      <c r="C77" s="136"/>
      <c r="D77" s="142"/>
      <c r="E77" s="78"/>
      <c r="F77" s="86"/>
      <c r="G77" s="77"/>
      <c r="H77" s="80"/>
      <c r="I77" s="74"/>
    </row>
    <row r="78" spans="2:9" s="52" customFormat="1" ht="30" customHeight="1">
      <c r="B78" s="60"/>
      <c r="C78" s="136"/>
      <c r="D78" s="142"/>
      <c r="E78" s="78"/>
      <c r="F78" s="86"/>
      <c r="G78" s="77"/>
      <c r="H78" s="80"/>
      <c r="I78" s="74"/>
    </row>
    <row r="79" spans="2:9" s="52" customFormat="1" ht="30" customHeight="1">
      <c r="B79" s="60"/>
      <c r="C79" s="136"/>
      <c r="D79" s="142"/>
      <c r="E79" s="78"/>
      <c r="F79" s="86"/>
      <c r="G79" s="77"/>
      <c r="H79" s="80"/>
      <c r="I79" s="74"/>
    </row>
    <row r="80" spans="2:9" s="52" customFormat="1" ht="30" customHeight="1">
      <c r="B80" s="60"/>
      <c r="C80" s="136"/>
      <c r="D80" s="142"/>
      <c r="E80" s="78"/>
      <c r="F80" s="86"/>
      <c r="G80" s="77"/>
      <c r="H80" s="80"/>
      <c r="I80" s="74"/>
    </row>
    <row r="81" spans="2:9" s="52" customFormat="1" ht="30" customHeight="1">
      <c r="B81" s="60"/>
      <c r="C81" s="136"/>
      <c r="D81" s="142"/>
      <c r="E81" s="78"/>
      <c r="F81" s="87"/>
      <c r="G81" s="77"/>
      <c r="H81" s="80"/>
      <c r="I81" s="74"/>
    </row>
    <row r="82" spans="2:9" ht="30" customHeight="1">
      <c r="B82" s="60"/>
      <c r="C82" s="136"/>
      <c r="D82" s="142"/>
      <c r="E82" s="78"/>
      <c r="F82" s="87"/>
      <c r="G82" s="77"/>
      <c r="H82" s="88"/>
      <c r="I82" s="74"/>
    </row>
    <row r="83" spans="2:9" ht="30" customHeight="1">
      <c r="B83" s="60"/>
      <c r="C83" s="136"/>
      <c r="D83" s="142"/>
      <c r="E83" s="78"/>
      <c r="F83" s="87"/>
      <c r="G83" s="77"/>
      <c r="H83" s="88"/>
      <c r="I83" s="74"/>
    </row>
    <row r="84" spans="2:9" ht="30" customHeight="1">
      <c r="B84" s="60"/>
      <c r="C84" s="136"/>
      <c r="D84" s="142"/>
      <c r="E84" s="78"/>
      <c r="F84" s="87"/>
      <c r="G84" s="77"/>
      <c r="H84" s="88"/>
      <c r="I84" s="74"/>
    </row>
    <row r="85" spans="2:9" ht="30" customHeight="1">
      <c r="B85" s="60"/>
      <c r="C85" s="136"/>
      <c r="D85" s="142"/>
      <c r="E85" s="78"/>
      <c r="F85" s="87"/>
      <c r="G85" s="77"/>
      <c r="H85" s="88"/>
      <c r="I85" s="74"/>
    </row>
    <row r="86" spans="2:9" ht="30" customHeight="1">
      <c r="B86" s="60"/>
      <c r="C86" s="136"/>
      <c r="D86" s="142"/>
      <c r="E86" s="78"/>
      <c r="F86" s="87"/>
      <c r="G86" s="77"/>
      <c r="H86" s="88"/>
      <c r="I86" s="74"/>
    </row>
    <row r="87" spans="2:9" ht="30" customHeight="1">
      <c r="B87" s="60"/>
      <c r="C87" s="137"/>
      <c r="D87" s="143"/>
      <c r="E87" s="78"/>
      <c r="F87" s="87"/>
      <c r="G87" s="77"/>
      <c r="H87" s="88"/>
      <c r="I87" s="74"/>
    </row>
  </sheetData>
  <mergeCells count="18">
    <mergeCell ref="H42:I42"/>
    <mergeCell ref="H43:I43"/>
    <mergeCell ref="C28:C37"/>
    <mergeCell ref="C38:C67"/>
    <mergeCell ref="C68:C87"/>
    <mergeCell ref="D28:D37"/>
    <mergeCell ref="D38:D67"/>
    <mergeCell ref="D68:D87"/>
    <mergeCell ref="H33:I33"/>
    <mergeCell ref="H34:I34"/>
    <mergeCell ref="H37:I37"/>
    <mergeCell ref="H39:I39"/>
    <mergeCell ref="H41:I41"/>
    <mergeCell ref="B1:G1"/>
    <mergeCell ref="B2:G2"/>
    <mergeCell ref="B3:G3"/>
    <mergeCell ref="B4:G4"/>
    <mergeCell ref="H32:I32"/>
  </mergeCells>
  <phoneticPr fontId="13" type="noConversion"/>
  <pageMargins left="0.75" right="0.75" top="1" bottom="1" header="0.51180555555555596" footer="0.5118055555555559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M17"/>
  <sheetViews>
    <sheetView showGridLines="0" topLeftCell="A3" zoomScale="70" zoomScaleNormal="70" workbookViewId="0">
      <selection activeCell="A6" sqref="A6:XFD8"/>
    </sheetView>
  </sheetViews>
  <sheetFormatPr baseColWidth="10" defaultColWidth="9.6640625" defaultRowHeight="30" customHeight="1"/>
  <cols>
    <col min="1" max="1" width="7.5" style="26" customWidth="1"/>
    <col min="2" max="2" width="12.6640625" style="28" customWidth="1"/>
    <col min="3" max="3" width="20.33203125" style="28" customWidth="1"/>
    <col min="4" max="4" width="54.5" style="26" customWidth="1"/>
    <col min="5" max="6" width="18.6640625" style="29" customWidth="1"/>
    <col min="7" max="7" width="16.33203125" style="30" customWidth="1"/>
    <col min="8" max="8" width="19.83203125" style="29" customWidth="1"/>
    <col min="9" max="9" width="18.33203125" style="30" customWidth="1"/>
    <col min="10" max="10" width="60.5" style="31" customWidth="1"/>
    <col min="11" max="11" width="54.5" style="32" customWidth="1"/>
    <col min="12" max="12" width="50.5" style="26" customWidth="1"/>
    <col min="13" max="13" width="64" style="26" customWidth="1"/>
    <col min="14" max="14" width="19" style="26" customWidth="1"/>
    <col min="15" max="16384" width="9.6640625" style="26"/>
  </cols>
  <sheetData>
    <row r="1" spans="2:13" ht="110" customHeight="1">
      <c r="B1" s="113" t="s">
        <v>57</v>
      </c>
      <c r="C1" s="113"/>
      <c r="D1" s="113"/>
      <c r="E1" s="144"/>
      <c r="F1" s="144"/>
      <c r="G1" s="145"/>
      <c r="H1" s="144"/>
      <c r="I1" s="145"/>
      <c r="J1" s="146"/>
    </row>
    <row r="2" spans="2:13" ht="190" customHeight="1">
      <c r="B2" s="117" t="s">
        <v>58</v>
      </c>
      <c r="C2" s="117"/>
      <c r="D2" s="117"/>
      <c r="E2" s="147"/>
      <c r="F2" s="147"/>
      <c r="G2" s="148"/>
      <c r="H2" s="147"/>
      <c r="I2" s="148"/>
      <c r="J2" s="117"/>
    </row>
    <row r="3" spans="2:13" ht="94" customHeight="1">
      <c r="B3" s="120" t="s">
        <v>59</v>
      </c>
      <c r="C3" s="120"/>
      <c r="D3" s="120"/>
      <c r="E3" s="149"/>
      <c r="F3" s="149"/>
      <c r="G3" s="150"/>
      <c r="H3" s="149"/>
      <c r="I3" s="150"/>
      <c r="J3" s="120"/>
    </row>
    <row r="4" spans="2:13" ht="67" customHeight="1">
      <c r="B4" s="120" t="s">
        <v>60</v>
      </c>
      <c r="C4" s="120"/>
      <c r="D4" s="120"/>
      <c r="E4" s="149"/>
      <c r="F4" s="149"/>
      <c r="G4" s="150"/>
      <c r="H4" s="149"/>
      <c r="I4" s="150"/>
      <c r="J4" s="120"/>
    </row>
    <row r="5" spans="2:13" s="27" customFormat="1" ht="50" customHeight="1">
      <c r="B5" s="33" t="s">
        <v>0</v>
      </c>
      <c r="C5" s="34" t="s">
        <v>41</v>
      </c>
      <c r="D5" s="34" t="s">
        <v>42</v>
      </c>
      <c r="E5" s="40" t="s">
        <v>61</v>
      </c>
      <c r="F5" s="40" t="s">
        <v>62</v>
      </c>
      <c r="G5" s="41" t="s">
        <v>63</v>
      </c>
      <c r="H5" s="40" t="s">
        <v>64</v>
      </c>
      <c r="I5" s="41" t="s">
        <v>65</v>
      </c>
      <c r="J5" s="47" t="s">
        <v>45</v>
      </c>
      <c r="K5" s="48"/>
      <c r="L5" s="48"/>
      <c r="M5" s="48"/>
    </row>
    <row r="6" spans="2:13" ht="50" customHeight="1">
      <c r="B6" s="159">
        <v>1</v>
      </c>
      <c r="C6" s="160" t="s">
        <v>48</v>
      </c>
      <c r="D6" s="161" t="s">
        <v>66</v>
      </c>
      <c r="E6" s="162">
        <v>44543</v>
      </c>
      <c r="F6" s="163">
        <v>44548</v>
      </c>
      <c r="G6" s="164">
        <f t="shared" ref="G6:G8" si="0">F6-E6</f>
        <v>5</v>
      </c>
      <c r="H6" s="163">
        <v>44562</v>
      </c>
      <c r="I6" s="164">
        <f>H6-E6</f>
        <v>19</v>
      </c>
      <c r="J6" s="165" t="s">
        <v>67</v>
      </c>
      <c r="K6" s="52"/>
      <c r="L6" s="52"/>
    </row>
    <row r="7" spans="2:13" ht="50" customHeight="1">
      <c r="B7" s="159">
        <v>2</v>
      </c>
      <c r="C7" s="160" t="s">
        <v>48</v>
      </c>
      <c r="D7" s="161" t="s">
        <v>68</v>
      </c>
      <c r="E7" s="162">
        <v>44549</v>
      </c>
      <c r="F7" s="163">
        <v>44559</v>
      </c>
      <c r="G7" s="164">
        <f t="shared" si="0"/>
        <v>10</v>
      </c>
      <c r="H7" s="163"/>
      <c r="I7" s="164"/>
      <c r="J7" s="165"/>
      <c r="K7" s="52"/>
      <c r="L7" s="52"/>
    </row>
    <row r="8" spans="2:13" ht="50" customHeight="1">
      <c r="B8" s="159">
        <v>3</v>
      </c>
      <c r="C8" s="160" t="s">
        <v>48</v>
      </c>
      <c r="D8" s="161" t="s">
        <v>69</v>
      </c>
      <c r="E8" s="162">
        <v>44560</v>
      </c>
      <c r="F8" s="163">
        <v>44565</v>
      </c>
      <c r="G8" s="164">
        <f t="shared" si="0"/>
        <v>5</v>
      </c>
      <c r="H8" s="163"/>
      <c r="I8" s="164"/>
      <c r="J8" s="165"/>
      <c r="K8" s="52"/>
      <c r="L8" s="52"/>
    </row>
    <row r="9" spans="2:13" s="27" customFormat="1" ht="50" customHeight="1">
      <c r="B9" s="35"/>
      <c r="C9" s="36"/>
      <c r="D9" s="37"/>
      <c r="E9" s="42"/>
      <c r="F9" s="43"/>
      <c r="G9" s="44"/>
      <c r="H9" s="43"/>
      <c r="I9" s="44"/>
      <c r="J9" s="49"/>
      <c r="K9" s="48"/>
      <c r="L9" s="48"/>
    </row>
    <row r="10" spans="2:13" s="27" customFormat="1" ht="50" customHeight="1">
      <c r="B10" s="35"/>
      <c r="C10" s="36"/>
      <c r="D10" s="37"/>
      <c r="E10" s="42"/>
      <c r="F10" s="43"/>
      <c r="G10" s="44"/>
      <c r="H10" s="43"/>
      <c r="I10" s="44"/>
      <c r="J10" s="49"/>
      <c r="K10" s="48"/>
      <c r="L10" s="48"/>
    </row>
    <row r="11" spans="2:13" s="27" customFormat="1" ht="50" customHeight="1">
      <c r="B11" s="35"/>
      <c r="C11" s="36"/>
      <c r="D11" s="37"/>
      <c r="E11" s="42"/>
      <c r="F11" s="43"/>
      <c r="G11" s="44"/>
      <c r="H11" s="43"/>
      <c r="I11" s="44"/>
      <c r="J11" s="49"/>
      <c r="K11" s="48"/>
      <c r="L11" s="48"/>
    </row>
    <row r="12" spans="2:13" s="27" customFormat="1" ht="50" customHeight="1">
      <c r="B12" s="35"/>
      <c r="C12" s="36"/>
      <c r="D12" s="37"/>
      <c r="E12" s="42"/>
      <c r="F12" s="43"/>
      <c r="G12" s="44"/>
      <c r="H12" s="43"/>
      <c r="I12" s="44"/>
      <c r="J12" s="49"/>
      <c r="K12" s="48"/>
      <c r="L12" s="48"/>
    </row>
    <row r="13" spans="2:13" s="27" customFormat="1" ht="50" customHeight="1">
      <c r="B13" s="35"/>
      <c r="C13" s="36"/>
      <c r="D13" s="37"/>
      <c r="E13" s="42"/>
      <c r="F13" s="43"/>
      <c r="G13" s="44"/>
      <c r="H13" s="43"/>
      <c r="I13" s="44"/>
      <c r="J13" s="49"/>
      <c r="K13" s="48"/>
      <c r="L13" s="48"/>
    </row>
    <row r="14" spans="2:13" s="27" customFormat="1" ht="50" customHeight="1">
      <c r="B14" s="35"/>
      <c r="C14" s="36"/>
      <c r="D14" s="37"/>
      <c r="E14" s="42"/>
      <c r="F14" s="43"/>
      <c r="G14" s="44"/>
      <c r="H14" s="43"/>
      <c r="I14" s="44"/>
      <c r="J14" s="49"/>
      <c r="K14" s="48"/>
      <c r="L14" s="48"/>
    </row>
    <row r="15" spans="2:13" s="27" customFormat="1" ht="50" customHeight="1">
      <c r="B15" s="35"/>
      <c r="C15" s="36"/>
      <c r="D15" s="36"/>
      <c r="E15" s="43"/>
      <c r="F15" s="43"/>
      <c r="G15" s="44"/>
      <c r="H15" s="43"/>
      <c r="I15" s="44"/>
      <c r="J15" s="49"/>
      <c r="K15" s="48"/>
      <c r="L15" s="48"/>
    </row>
    <row r="16" spans="2:13" s="27" customFormat="1" ht="50" customHeight="1">
      <c r="B16" s="35"/>
      <c r="C16" s="36"/>
      <c r="D16" s="36"/>
      <c r="E16" s="43"/>
      <c r="F16" s="43"/>
      <c r="G16" s="44"/>
      <c r="H16" s="43"/>
      <c r="I16" s="44"/>
      <c r="J16" s="49"/>
      <c r="K16" s="48"/>
      <c r="L16" s="48"/>
    </row>
    <row r="17" spans="2:12" s="27" customFormat="1" ht="50" customHeight="1">
      <c r="B17" s="38"/>
      <c r="C17" s="39"/>
      <c r="D17" s="39"/>
      <c r="E17" s="45"/>
      <c r="F17" s="45"/>
      <c r="G17" s="46"/>
      <c r="H17" s="45"/>
      <c r="I17" s="46"/>
      <c r="J17" s="50"/>
      <c r="K17" s="48"/>
      <c r="L17" s="48"/>
    </row>
  </sheetData>
  <mergeCells count="4">
    <mergeCell ref="B1:J1"/>
    <mergeCell ref="B2:J2"/>
    <mergeCell ref="B3:J3"/>
    <mergeCell ref="B4:J4"/>
  </mergeCells>
  <phoneticPr fontId="13" type="noConversion"/>
  <pageMargins left="0.75" right="0.75" top="1" bottom="1" header="0.51180555555555596" footer="0.5118055555555559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57"/>
  <sheetViews>
    <sheetView showGridLines="0" zoomScale="96" zoomScaleNormal="96" workbookViewId="0">
      <pane ySplit="1" topLeftCell="A2" activePane="bottomLeft" state="frozen"/>
      <selection pane="bottomLeft" activeCell="T1" sqref="T1:T1048576"/>
    </sheetView>
  </sheetViews>
  <sheetFormatPr baseColWidth="10" defaultColWidth="9.1640625" defaultRowHeight="20" customHeight="1"/>
  <cols>
    <col min="1" max="1" width="9.1640625" style="1"/>
    <col min="2" max="2" width="18.1640625" style="1" customWidth="1"/>
    <col min="3" max="3" width="18.5" style="1" customWidth="1"/>
    <col min="4" max="4" width="15.33203125" style="1" customWidth="1"/>
    <col min="5" max="5" width="33" style="2" customWidth="1"/>
    <col min="6" max="6" width="12.1640625" style="1" customWidth="1"/>
    <col min="7" max="7" width="14.5" style="3" customWidth="1"/>
    <col min="8" max="8" width="10.5" style="1" customWidth="1"/>
    <col min="9" max="19" width="9.1640625" style="1"/>
    <col min="20" max="20" width="10.6640625" style="1" hidden="1" customWidth="1"/>
    <col min="21" max="16384" width="9.1640625" style="1"/>
  </cols>
  <sheetData>
    <row r="1" spans="1:20" s="16" customFormat="1" ht="53" customHeight="1">
      <c r="A1" s="5" t="s">
        <v>0</v>
      </c>
      <c r="B1" s="5" t="s">
        <v>70</v>
      </c>
      <c r="C1" s="5" t="s">
        <v>71</v>
      </c>
      <c r="D1" s="5" t="s">
        <v>2</v>
      </c>
      <c r="E1" s="5" t="s">
        <v>72</v>
      </c>
      <c r="F1" s="5" t="s">
        <v>73</v>
      </c>
      <c r="G1" s="10" t="s">
        <v>74</v>
      </c>
      <c r="H1" s="5" t="s">
        <v>75</v>
      </c>
      <c r="I1" s="5" t="s">
        <v>76</v>
      </c>
      <c r="J1" s="5" t="s">
        <v>77</v>
      </c>
      <c r="K1" s="5" t="s">
        <v>78</v>
      </c>
      <c r="L1" s="5" t="s">
        <v>79</v>
      </c>
      <c r="M1" s="5" t="s">
        <v>80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16" t="s">
        <v>87</v>
      </c>
    </row>
    <row r="2" spans="1:20" ht="20" customHeight="1">
      <c r="A2" s="151">
        <v>1</v>
      </c>
      <c r="B2" s="151" t="s">
        <v>88</v>
      </c>
      <c r="C2" s="151" t="s">
        <v>89</v>
      </c>
      <c r="D2" s="151" t="s">
        <v>13</v>
      </c>
      <c r="E2" s="6" t="s">
        <v>90</v>
      </c>
      <c r="F2" s="17" t="s">
        <v>91</v>
      </c>
      <c r="G2" s="18">
        <f>COUNTIF(H2:S2,$T$2)/12</f>
        <v>0</v>
      </c>
      <c r="H2" s="7"/>
      <c r="I2" s="20"/>
      <c r="J2" s="20" t="s">
        <v>92</v>
      </c>
      <c r="K2" s="7"/>
      <c r="L2" s="7"/>
      <c r="M2" s="7"/>
      <c r="N2" s="7"/>
      <c r="O2" s="7"/>
      <c r="P2" s="7"/>
      <c r="Q2" s="7"/>
      <c r="R2" s="7"/>
      <c r="S2" s="7"/>
      <c r="T2" s="1" t="s">
        <v>93</v>
      </c>
    </row>
    <row r="3" spans="1:20" ht="20" customHeight="1">
      <c r="A3" s="151"/>
      <c r="B3" s="151"/>
      <c r="C3" s="151"/>
      <c r="D3" s="151"/>
      <c r="E3" s="6" t="s">
        <v>94</v>
      </c>
      <c r="F3" s="7" t="s">
        <v>95</v>
      </c>
      <c r="G3" s="18">
        <f>COUNTIF(H3:S3,$T$2)/12</f>
        <v>0</v>
      </c>
      <c r="H3" s="7"/>
      <c r="I3" s="20"/>
      <c r="J3" s="20"/>
      <c r="K3" s="20"/>
      <c r="L3" s="7"/>
      <c r="M3" s="7"/>
      <c r="N3" s="7"/>
      <c r="O3" s="7"/>
      <c r="P3" s="7"/>
      <c r="Q3" s="7"/>
      <c r="R3" s="7"/>
      <c r="S3" s="7"/>
    </row>
    <row r="4" spans="1:20" ht="20" customHeight="1">
      <c r="A4" s="151"/>
      <c r="B4" s="151"/>
      <c r="C4" s="151"/>
      <c r="D4" s="151"/>
      <c r="E4" s="6" t="s">
        <v>96</v>
      </c>
      <c r="F4" s="7" t="s">
        <v>95</v>
      </c>
      <c r="G4" s="18">
        <f>COUNTIF(H4:S4,$T$2)/12</f>
        <v>0</v>
      </c>
      <c r="H4" s="7"/>
      <c r="I4" s="20"/>
      <c r="J4" s="20"/>
      <c r="K4" s="20"/>
      <c r="L4" s="7"/>
      <c r="M4" s="7"/>
      <c r="N4" s="7"/>
      <c r="O4" s="7"/>
      <c r="P4" s="7"/>
      <c r="Q4" s="7"/>
      <c r="R4" s="7"/>
      <c r="S4" s="7"/>
    </row>
    <row r="5" spans="1:20" ht="20" customHeight="1">
      <c r="A5" s="151"/>
      <c r="B5" s="151"/>
      <c r="C5" s="151"/>
      <c r="D5" s="151"/>
      <c r="E5" s="6" t="s">
        <v>97</v>
      </c>
      <c r="F5" s="7" t="s">
        <v>98</v>
      </c>
      <c r="G5" s="18">
        <f t="shared" ref="G5:G24" si="0">COUNTIF(H5:S5,$T$2)/12</f>
        <v>0</v>
      </c>
      <c r="H5" s="7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</row>
    <row r="6" spans="1:20" ht="20" customHeight="1">
      <c r="A6" s="151"/>
      <c r="B6" s="151"/>
      <c r="C6" s="151"/>
      <c r="D6" s="151"/>
      <c r="E6" s="6" t="s">
        <v>99</v>
      </c>
      <c r="F6" s="7" t="s">
        <v>100</v>
      </c>
      <c r="G6" s="18">
        <f t="shared" si="0"/>
        <v>0</v>
      </c>
      <c r="H6" s="7"/>
      <c r="I6" s="12"/>
      <c r="J6" s="12"/>
      <c r="K6" s="12"/>
      <c r="L6" s="12"/>
      <c r="M6" s="12"/>
      <c r="N6" s="12"/>
      <c r="O6" s="12"/>
      <c r="P6" s="12"/>
      <c r="Q6" s="20"/>
      <c r="R6" s="20"/>
      <c r="S6" s="7"/>
    </row>
    <row r="7" spans="1:20" ht="20" customHeight="1">
      <c r="A7" s="151">
        <v>2</v>
      </c>
      <c r="B7" s="151"/>
      <c r="C7" s="151" t="s">
        <v>101</v>
      </c>
      <c r="D7" s="151" t="s">
        <v>29</v>
      </c>
      <c r="E7" s="6" t="s">
        <v>102</v>
      </c>
      <c r="F7" s="7" t="s">
        <v>91</v>
      </c>
      <c r="G7" s="18">
        <f t="shared" si="0"/>
        <v>0</v>
      </c>
      <c r="H7" s="19"/>
      <c r="I7" s="19"/>
      <c r="J7" s="19"/>
      <c r="K7" s="7"/>
      <c r="L7" s="7"/>
      <c r="M7" s="7"/>
      <c r="N7" s="7"/>
      <c r="O7" s="7"/>
      <c r="P7" s="7"/>
      <c r="Q7" s="7"/>
      <c r="R7" s="7"/>
      <c r="S7" s="7"/>
    </row>
    <row r="8" spans="1:20" ht="20" customHeight="1">
      <c r="A8" s="151"/>
      <c r="B8" s="151"/>
      <c r="C8" s="151"/>
      <c r="D8" s="151"/>
      <c r="E8" s="6" t="s">
        <v>103</v>
      </c>
      <c r="F8" s="7" t="s">
        <v>104</v>
      </c>
      <c r="G8" s="18">
        <f t="shared" si="0"/>
        <v>0</v>
      </c>
      <c r="H8" s="19"/>
      <c r="I8" s="19"/>
      <c r="J8" s="7"/>
      <c r="K8" s="7"/>
      <c r="L8" s="7"/>
      <c r="M8" s="7"/>
      <c r="N8" s="7"/>
      <c r="O8" s="7"/>
      <c r="P8" s="7"/>
      <c r="Q8" s="7"/>
      <c r="R8" s="7"/>
      <c r="S8" s="7"/>
    </row>
    <row r="9" spans="1:20" ht="19" customHeight="1">
      <c r="A9" s="151"/>
      <c r="B9" s="151"/>
      <c r="C9" s="151"/>
      <c r="D9" s="151"/>
      <c r="E9" s="6" t="s">
        <v>105</v>
      </c>
      <c r="F9" s="7" t="s">
        <v>91</v>
      </c>
      <c r="G9" s="18">
        <f t="shared" si="0"/>
        <v>0</v>
      </c>
      <c r="H9" s="19"/>
      <c r="I9" s="19"/>
      <c r="J9" s="19"/>
      <c r="K9" s="7"/>
      <c r="L9" s="7"/>
      <c r="M9" s="7"/>
      <c r="N9" s="7"/>
      <c r="O9" s="7"/>
      <c r="P9" s="7"/>
      <c r="Q9" s="7"/>
      <c r="R9" s="7"/>
      <c r="S9" s="7"/>
    </row>
    <row r="10" spans="1:20" ht="20" customHeight="1">
      <c r="A10" s="151">
        <v>3</v>
      </c>
      <c r="B10" s="151"/>
      <c r="C10" s="151" t="s">
        <v>106</v>
      </c>
      <c r="D10" s="151" t="s">
        <v>8</v>
      </c>
      <c r="E10" s="6" t="s">
        <v>107</v>
      </c>
      <c r="F10" s="7" t="s">
        <v>104</v>
      </c>
      <c r="G10" s="18">
        <f t="shared" si="0"/>
        <v>0</v>
      </c>
      <c r="H10" s="7"/>
      <c r="I10" s="21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spans="1:20" ht="20" customHeight="1">
      <c r="A11" s="151"/>
      <c r="B11" s="151"/>
      <c r="C11" s="151"/>
      <c r="D11" s="151"/>
      <c r="E11" s="6" t="s">
        <v>108</v>
      </c>
      <c r="F11" s="7" t="s">
        <v>91</v>
      </c>
      <c r="G11" s="18">
        <f t="shared" si="0"/>
        <v>0</v>
      </c>
      <c r="H11" s="7"/>
      <c r="I11" s="21"/>
      <c r="J11" s="21"/>
      <c r="K11" s="7"/>
      <c r="L11" s="7"/>
      <c r="M11" s="7"/>
      <c r="N11" s="7"/>
      <c r="O11" s="7"/>
      <c r="P11" s="7"/>
      <c r="Q11" s="7"/>
      <c r="R11" s="7"/>
      <c r="S11" s="7"/>
    </row>
    <row r="12" spans="1:20" ht="20" customHeight="1">
      <c r="A12" s="151"/>
      <c r="B12" s="151"/>
      <c r="C12" s="151"/>
      <c r="D12" s="151"/>
      <c r="E12" s="6" t="s">
        <v>109</v>
      </c>
      <c r="F12" s="7" t="s">
        <v>91</v>
      </c>
      <c r="G12" s="18">
        <f t="shared" si="0"/>
        <v>0</v>
      </c>
      <c r="H12" s="7"/>
      <c r="I12" s="21"/>
      <c r="J12" s="21"/>
      <c r="K12" s="7"/>
      <c r="L12" s="7"/>
      <c r="M12" s="7"/>
      <c r="N12" s="7"/>
      <c r="O12" s="7"/>
      <c r="P12" s="7"/>
      <c r="Q12" s="7"/>
      <c r="R12" s="7"/>
      <c r="S12" s="7"/>
    </row>
    <row r="13" spans="1:20" ht="20" customHeight="1">
      <c r="A13" s="151">
        <v>4</v>
      </c>
      <c r="B13" s="151"/>
      <c r="C13" s="151" t="s">
        <v>110</v>
      </c>
      <c r="D13" s="151" t="s">
        <v>29</v>
      </c>
      <c r="E13" s="6" t="s">
        <v>111</v>
      </c>
      <c r="F13" s="7" t="s">
        <v>112</v>
      </c>
      <c r="G13" s="18">
        <f t="shared" si="0"/>
        <v>0</v>
      </c>
      <c r="H13" s="7"/>
      <c r="I13" s="7"/>
      <c r="J13" s="7"/>
      <c r="K13" s="25"/>
      <c r="L13" s="25"/>
      <c r="M13" s="7"/>
      <c r="N13" s="7"/>
      <c r="O13" s="7"/>
      <c r="P13" s="7"/>
      <c r="Q13" s="7"/>
      <c r="R13" s="7"/>
      <c r="S13" s="7"/>
    </row>
    <row r="14" spans="1:20" ht="20" customHeight="1">
      <c r="A14" s="151"/>
      <c r="B14" s="151"/>
      <c r="C14" s="151"/>
      <c r="D14" s="151"/>
      <c r="E14" s="6" t="s">
        <v>113</v>
      </c>
      <c r="F14" s="7" t="s">
        <v>114</v>
      </c>
      <c r="G14" s="18">
        <f t="shared" si="0"/>
        <v>0</v>
      </c>
      <c r="H14" s="7"/>
      <c r="I14" s="7"/>
      <c r="J14" s="7"/>
      <c r="K14" s="25"/>
      <c r="L14" s="25"/>
      <c r="M14" s="25"/>
      <c r="N14" s="7"/>
      <c r="O14" s="7"/>
      <c r="P14" s="7"/>
      <c r="Q14" s="7"/>
      <c r="R14" s="7"/>
      <c r="S14" s="7"/>
    </row>
    <row r="15" spans="1:20" ht="20" customHeight="1">
      <c r="A15" s="151"/>
      <c r="B15" s="151"/>
      <c r="C15" s="151"/>
      <c r="D15" s="151"/>
      <c r="E15" s="6" t="s">
        <v>115</v>
      </c>
      <c r="F15" s="7" t="s">
        <v>112</v>
      </c>
      <c r="G15" s="18">
        <f t="shared" si="0"/>
        <v>0</v>
      </c>
      <c r="H15" s="7"/>
      <c r="I15" s="7"/>
      <c r="J15" s="7"/>
      <c r="K15" s="25"/>
      <c r="L15" s="25"/>
      <c r="M15" s="7"/>
      <c r="N15" s="7"/>
      <c r="O15" s="7"/>
      <c r="P15" s="7"/>
      <c r="Q15" s="7"/>
      <c r="R15" s="7"/>
      <c r="S15" s="7"/>
    </row>
    <row r="16" spans="1:20" ht="20" customHeight="1">
      <c r="A16" s="151"/>
      <c r="B16" s="151"/>
      <c r="C16" s="151"/>
      <c r="D16" s="151"/>
      <c r="E16" s="6" t="s">
        <v>116</v>
      </c>
      <c r="F16" s="7" t="s">
        <v>114</v>
      </c>
      <c r="G16" s="18">
        <f t="shared" si="0"/>
        <v>0</v>
      </c>
      <c r="H16" s="7"/>
      <c r="I16" s="7"/>
      <c r="J16" s="7"/>
      <c r="K16" s="25"/>
      <c r="L16" s="25"/>
      <c r="M16" s="25"/>
      <c r="N16" s="7"/>
      <c r="O16" s="7"/>
      <c r="P16" s="7"/>
      <c r="Q16" s="7"/>
      <c r="R16" s="7"/>
      <c r="S16" s="7"/>
    </row>
    <row r="17" spans="1:19" ht="20" customHeight="1">
      <c r="A17" s="151">
        <v>5</v>
      </c>
      <c r="B17" s="151"/>
      <c r="C17" s="151" t="s">
        <v>117</v>
      </c>
      <c r="D17" s="151" t="s">
        <v>29</v>
      </c>
      <c r="E17" s="6" t="s">
        <v>118</v>
      </c>
      <c r="F17" s="7" t="s">
        <v>91</v>
      </c>
      <c r="G17" s="18">
        <f t="shared" si="0"/>
        <v>0</v>
      </c>
      <c r="H17" s="7"/>
      <c r="I17" s="7"/>
      <c r="J17" s="24"/>
      <c r="K17" s="7"/>
      <c r="L17" s="7"/>
      <c r="M17" s="7"/>
      <c r="N17" s="7"/>
      <c r="O17" s="7"/>
      <c r="P17" s="7"/>
      <c r="Q17" s="7"/>
      <c r="R17" s="7"/>
      <c r="S17" s="7"/>
    </row>
    <row r="18" spans="1:19" ht="20" customHeight="1">
      <c r="A18" s="151"/>
      <c r="B18" s="151"/>
      <c r="C18" s="151"/>
      <c r="D18" s="151"/>
      <c r="E18" s="6" t="s">
        <v>119</v>
      </c>
      <c r="F18" s="7" t="s">
        <v>95</v>
      </c>
      <c r="G18" s="18">
        <f t="shared" si="0"/>
        <v>0</v>
      </c>
      <c r="H18" s="7"/>
      <c r="I18" s="7"/>
      <c r="J18" s="24"/>
      <c r="K18" s="24"/>
      <c r="L18" s="7"/>
      <c r="M18" s="7"/>
      <c r="N18" s="7"/>
      <c r="O18" s="7"/>
      <c r="P18" s="7"/>
      <c r="Q18" s="7"/>
      <c r="R18" s="7"/>
      <c r="S18" s="7"/>
    </row>
    <row r="19" spans="1:19" ht="20" customHeight="1">
      <c r="A19" s="151"/>
      <c r="B19" s="151"/>
      <c r="C19" s="151"/>
      <c r="D19" s="151"/>
      <c r="E19" s="6" t="s">
        <v>120</v>
      </c>
      <c r="F19" s="7" t="s">
        <v>121</v>
      </c>
      <c r="G19" s="18">
        <f t="shared" si="0"/>
        <v>0</v>
      </c>
      <c r="H19" s="7"/>
      <c r="I19" s="7"/>
      <c r="J19" s="7"/>
      <c r="K19" s="24"/>
      <c r="L19" s="24"/>
      <c r="M19" s="7"/>
      <c r="N19" s="7"/>
      <c r="O19" s="7"/>
      <c r="P19" s="7"/>
      <c r="Q19" s="7"/>
      <c r="R19" s="7"/>
      <c r="S19" s="7"/>
    </row>
    <row r="20" spans="1:19" ht="20" customHeight="1">
      <c r="A20" s="151"/>
      <c r="B20" s="151"/>
      <c r="C20" s="151"/>
      <c r="D20" s="151"/>
      <c r="E20" s="6" t="s">
        <v>122</v>
      </c>
      <c r="F20" s="7" t="s">
        <v>95</v>
      </c>
      <c r="G20" s="18">
        <f t="shared" si="0"/>
        <v>0</v>
      </c>
      <c r="H20" s="7"/>
      <c r="I20" s="7"/>
      <c r="J20" s="24"/>
      <c r="K20" s="24"/>
      <c r="L20" s="24"/>
      <c r="M20" s="7"/>
      <c r="N20" s="7"/>
      <c r="O20" s="7"/>
      <c r="P20" s="7"/>
      <c r="Q20" s="7"/>
      <c r="R20" s="7"/>
      <c r="S20" s="7"/>
    </row>
    <row r="21" spans="1:19" ht="20" customHeight="1">
      <c r="A21" s="151">
        <v>6</v>
      </c>
      <c r="B21" s="151"/>
      <c r="C21" s="151" t="s">
        <v>123</v>
      </c>
      <c r="D21" s="151" t="s">
        <v>8</v>
      </c>
      <c r="E21" s="6" t="s">
        <v>124</v>
      </c>
      <c r="F21" s="7" t="s">
        <v>125</v>
      </c>
      <c r="G21" s="18">
        <f t="shared" si="0"/>
        <v>8.3333333333333329E-2</v>
      </c>
      <c r="H21" s="20" t="s">
        <v>93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spans="1:19" ht="20" customHeight="1">
      <c r="A22" s="151"/>
      <c r="B22" s="151"/>
      <c r="C22" s="151"/>
      <c r="D22" s="151"/>
      <c r="E22" s="6" t="s">
        <v>126</v>
      </c>
      <c r="F22" s="7" t="s">
        <v>125</v>
      </c>
      <c r="G22" s="18">
        <f t="shared" si="0"/>
        <v>8.3333333333333329E-2</v>
      </c>
      <c r="H22" s="20" t="s">
        <v>93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spans="1:19" ht="20" customHeight="1">
      <c r="A23" s="151"/>
      <c r="B23" s="151"/>
      <c r="C23" s="151"/>
      <c r="D23" s="151"/>
      <c r="E23" s="6" t="s">
        <v>127</v>
      </c>
      <c r="F23" s="7" t="s">
        <v>114</v>
      </c>
      <c r="G23" s="18">
        <f t="shared" si="0"/>
        <v>0</v>
      </c>
      <c r="H23" s="7"/>
      <c r="I23" s="7"/>
      <c r="J23" s="7"/>
      <c r="K23" s="7"/>
      <c r="L23" s="7"/>
      <c r="M23" s="7"/>
      <c r="N23" s="7"/>
      <c r="O23" s="7"/>
      <c r="P23" s="20"/>
      <c r="Q23" s="7"/>
      <c r="R23" s="7"/>
      <c r="S23" s="7"/>
    </row>
    <row r="24" spans="1:19" ht="20" customHeight="1">
      <c r="A24" s="151"/>
      <c r="B24" s="151"/>
      <c r="C24" s="151"/>
      <c r="D24" s="151"/>
      <c r="E24" s="6" t="s">
        <v>128</v>
      </c>
      <c r="F24" s="7" t="s">
        <v>129</v>
      </c>
      <c r="G24" s="18">
        <f t="shared" si="0"/>
        <v>0</v>
      </c>
      <c r="H24" s="7"/>
      <c r="I24" s="7"/>
      <c r="J24" s="7"/>
      <c r="K24" s="7"/>
      <c r="L24" s="7"/>
      <c r="M24" s="7"/>
      <c r="N24" s="7"/>
      <c r="O24" s="7"/>
      <c r="P24" s="20"/>
      <c r="Q24" s="20"/>
      <c r="R24" s="20"/>
      <c r="S24" s="7"/>
    </row>
    <row r="25" spans="1:19" ht="20" customHeight="1">
      <c r="A25" s="151">
        <v>7</v>
      </c>
      <c r="B25" s="151"/>
      <c r="C25" s="151" t="s">
        <v>130</v>
      </c>
      <c r="D25" s="151" t="s">
        <v>29</v>
      </c>
      <c r="E25" s="6" t="s">
        <v>131</v>
      </c>
      <c r="F25" s="7" t="s">
        <v>132</v>
      </c>
      <c r="G25" s="18">
        <f>COUNTIF(H25:S25,$T$2)/12</f>
        <v>0</v>
      </c>
      <c r="H25" s="7"/>
      <c r="I25" s="7"/>
      <c r="J25" s="7"/>
      <c r="K25" s="7"/>
      <c r="L25" s="7"/>
      <c r="M25" s="7"/>
      <c r="N25" s="7"/>
      <c r="O25" s="19"/>
      <c r="P25" s="7"/>
      <c r="Q25" s="7"/>
      <c r="R25" s="7"/>
      <c r="S25" s="7"/>
    </row>
    <row r="26" spans="1:19" ht="20" customHeight="1">
      <c r="A26" s="151"/>
      <c r="B26" s="151"/>
      <c r="C26" s="151"/>
      <c r="D26" s="151"/>
      <c r="E26" s="6" t="s">
        <v>133</v>
      </c>
      <c r="F26" s="7" t="s">
        <v>134</v>
      </c>
      <c r="G26" s="18">
        <f>COUNTIF(H26:S26,$T$2)/12</f>
        <v>0</v>
      </c>
      <c r="H26" s="7"/>
      <c r="I26" s="7"/>
      <c r="J26" s="7"/>
      <c r="K26" s="7"/>
      <c r="L26" s="7"/>
      <c r="M26" s="7"/>
      <c r="N26" s="7"/>
      <c r="O26" s="19"/>
      <c r="P26" s="19"/>
      <c r="Q26" s="7"/>
      <c r="R26" s="7"/>
      <c r="S26" s="7"/>
    </row>
    <row r="27" spans="1:19" ht="20" customHeight="1">
      <c r="A27" s="151"/>
      <c r="B27" s="151"/>
      <c r="C27" s="151"/>
      <c r="D27" s="151"/>
      <c r="E27" s="6" t="s">
        <v>135</v>
      </c>
      <c r="F27" s="7" t="s">
        <v>134</v>
      </c>
      <c r="G27" s="18">
        <f t="shared" ref="G27:G36" si="1">COUNTIF(H27:S27,$T$2)/12</f>
        <v>0</v>
      </c>
      <c r="H27" s="7"/>
      <c r="I27" s="7"/>
      <c r="J27" s="7"/>
      <c r="K27" s="7"/>
      <c r="L27" s="7"/>
      <c r="M27" s="7"/>
      <c r="N27" s="7"/>
      <c r="O27" s="19"/>
      <c r="P27" s="19"/>
      <c r="Q27" s="7"/>
      <c r="R27" s="7"/>
      <c r="S27" s="7"/>
    </row>
    <row r="28" spans="1:19" ht="20" customHeight="1">
      <c r="A28" s="151"/>
      <c r="B28" s="151"/>
      <c r="C28" s="151"/>
      <c r="D28" s="151"/>
      <c r="E28" s="6" t="s">
        <v>136</v>
      </c>
      <c r="F28" s="7" t="s">
        <v>125</v>
      </c>
      <c r="G28" s="18">
        <f t="shared" si="1"/>
        <v>8.3333333333333329E-2</v>
      </c>
      <c r="H28" s="19" t="s">
        <v>93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</row>
    <row r="29" spans="1:19" ht="21" customHeight="1">
      <c r="A29" s="152">
        <v>8</v>
      </c>
      <c r="B29" s="151"/>
      <c r="C29" s="152" t="s">
        <v>137</v>
      </c>
      <c r="D29" s="152" t="s">
        <v>8</v>
      </c>
      <c r="E29" s="6" t="s">
        <v>138</v>
      </c>
      <c r="F29" s="7" t="s">
        <v>139</v>
      </c>
      <c r="G29" s="18">
        <f t="shared" si="1"/>
        <v>8.3333333333333329E-2</v>
      </c>
      <c r="H29" s="21" t="s">
        <v>93</v>
      </c>
      <c r="I29" s="7"/>
      <c r="J29" s="7"/>
      <c r="K29" s="7"/>
      <c r="L29" s="7"/>
      <c r="M29" s="7"/>
      <c r="N29" s="7"/>
      <c r="P29" s="7"/>
      <c r="Q29" s="7"/>
      <c r="R29" s="7"/>
      <c r="S29" s="7"/>
    </row>
    <row r="30" spans="1:19" ht="44" customHeight="1">
      <c r="A30" s="153"/>
      <c r="B30" s="151"/>
      <c r="C30" s="153"/>
      <c r="D30" s="153"/>
      <c r="E30" s="6" t="s">
        <v>140</v>
      </c>
      <c r="F30" s="7" t="s">
        <v>141</v>
      </c>
      <c r="G30" s="18">
        <f t="shared" si="1"/>
        <v>0</v>
      </c>
      <c r="H30" s="7"/>
      <c r="I30" s="7"/>
      <c r="J30" s="7"/>
      <c r="K30" s="7"/>
      <c r="L30" s="21"/>
      <c r="M30" s="21"/>
      <c r="N30" s="21"/>
      <c r="O30" s="21"/>
      <c r="P30" s="7"/>
      <c r="Q30" s="7"/>
      <c r="R30" s="7"/>
      <c r="S30" s="7"/>
    </row>
    <row r="31" spans="1:19" ht="20" customHeight="1">
      <c r="A31" s="152">
        <v>9</v>
      </c>
      <c r="B31" s="151"/>
      <c r="C31" s="152" t="s">
        <v>142</v>
      </c>
      <c r="D31" s="7" t="s">
        <v>29</v>
      </c>
      <c r="E31" s="6" t="s">
        <v>143</v>
      </c>
      <c r="F31" s="7" t="s">
        <v>125</v>
      </c>
      <c r="G31" s="18">
        <f t="shared" si="1"/>
        <v>0</v>
      </c>
      <c r="H31" s="21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</row>
    <row r="32" spans="1:19" ht="20" customHeight="1">
      <c r="A32" s="153"/>
      <c r="B32" s="151"/>
      <c r="C32" s="153"/>
      <c r="D32" s="7" t="s">
        <v>29</v>
      </c>
      <c r="E32" s="6" t="s">
        <v>144</v>
      </c>
      <c r="F32" s="7" t="s">
        <v>91</v>
      </c>
      <c r="G32" s="18">
        <f t="shared" si="1"/>
        <v>0</v>
      </c>
      <c r="H32" s="22"/>
      <c r="I32" s="22"/>
      <c r="J32" s="22"/>
      <c r="K32" s="7"/>
      <c r="L32" s="7"/>
      <c r="M32" s="7"/>
      <c r="N32" s="7"/>
      <c r="O32" s="7"/>
      <c r="P32" s="7"/>
      <c r="Q32" s="7"/>
      <c r="R32" s="7"/>
      <c r="S32" s="7"/>
    </row>
    <row r="33" spans="1:19" ht="20" customHeight="1">
      <c r="A33" s="152">
        <v>1</v>
      </c>
      <c r="B33" s="152" t="s">
        <v>145</v>
      </c>
      <c r="C33" s="152" t="s">
        <v>146</v>
      </c>
      <c r="D33" s="151" t="s">
        <v>29</v>
      </c>
      <c r="E33" s="6" t="s">
        <v>147</v>
      </c>
      <c r="F33" s="7" t="s">
        <v>125</v>
      </c>
      <c r="G33" s="18">
        <f t="shared" si="1"/>
        <v>0</v>
      </c>
      <c r="H33" s="23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spans="1:19" ht="20" customHeight="1">
      <c r="A34" s="154"/>
      <c r="B34" s="154"/>
      <c r="C34" s="154"/>
      <c r="D34" s="151"/>
      <c r="E34" s="6" t="s">
        <v>148</v>
      </c>
      <c r="F34" s="7" t="s">
        <v>114</v>
      </c>
      <c r="G34" s="18">
        <f t="shared" si="1"/>
        <v>0</v>
      </c>
      <c r="H34" s="23"/>
      <c r="I34" s="23"/>
      <c r="J34" s="23"/>
      <c r="K34" s="23"/>
      <c r="L34" s="23"/>
      <c r="M34" s="23"/>
      <c r="N34" s="7"/>
      <c r="O34" s="7"/>
      <c r="P34" s="7"/>
      <c r="Q34" s="7"/>
      <c r="R34" s="7"/>
      <c r="S34" s="7"/>
    </row>
    <row r="35" spans="1:19" ht="20" customHeight="1">
      <c r="A35" s="154"/>
      <c r="B35" s="154"/>
      <c r="C35" s="154"/>
      <c r="D35" s="151"/>
      <c r="E35" s="6" t="s">
        <v>149</v>
      </c>
      <c r="F35" s="7" t="s">
        <v>129</v>
      </c>
      <c r="G35" s="18">
        <f t="shared" si="1"/>
        <v>0</v>
      </c>
      <c r="H35" s="7"/>
      <c r="I35" s="7"/>
      <c r="J35" s="7"/>
      <c r="K35" s="7"/>
      <c r="L35" s="7"/>
      <c r="M35" s="23"/>
      <c r="N35" s="23"/>
      <c r="O35" s="7"/>
      <c r="P35" s="7"/>
      <c r="Q35" s="7"/>
      <c r="R35" s="7"/>
      <c r="S35" s="7"/>
    </row>
    <row r="36" spans="1:19" ht="20" customHeight="1">
      <c r="A36" s="153"/>
      <c r="B36" s="154"/>
      <c r="C36" s="153"/>
      <c r="D36" s="151"/>
      <c r="E36" s="6" t="s">
        <v>150</v>
      </c>
      <c r="F36" s="7" t="s">
        <v>98</v>
      </c>
      <c r="G36" s="18">
        <f t="shared" si="1"/>
        <v>0</v>
      </c>
      <c r="H36" s="7"/>
      <c r="I36" s="7"/>
      <c r="J36" s="7"/>
      <c r="K36" s="7"/>
      <c r="L36" s="7"/>
      <c r="M36" s="7"/>
      <c r="N36" s="23"/>
      <c r="O36" s="23"/>
      <c r="P36" s="23"/>
      <c r="Q36" s="23"/>
      <c r="R36" s="23"/>
      <c r="S36" s="23"/>
    </row>
    <row r="37" spans="1:19" ht="20" customHeight="1">
      <c r="A37" s="152">
        <v>2</v>
      </c>
      <c r="B37" s="154"/>
      <c r="C37" s="152" t="s">
        <v>151</v>
      </c>
      <c r="D37" s="152" t="s">
        <v>8</v>
      </c>
      <c r="E37" s="2" t="s">
        <v>152</v>
      </c>
      <c r="F37" s="7" t="s">
        <v>129</v>
      </c>
      <c r="G37" s="18">
        <f t="shared" ref="G37:G43" si="2">COUNTIF(H37:S37,$T$2)/12</f>
        <v>0</v>
      </c>
      <c r="H37" s="7"/>
      <c r="I37" s="7"/>
      <c r="J37" s="7"/>
      <c r="K37" s="7"/>
      <c r="L37" s="7"/>
      <c r="M37" s="7"/>
      <c r="N37" s="20"/>
      <c r="O37" s="7"/>
      <c r="P37" s="7"/>
      <c r="Q37" s="7"/>
      <c r="R37" s="7"/>
      <c r="S37" s="7"/>
    </row>
    <row r="38" spans="1:19" ht="20" customHeight="1">
      <c r="A38" s="154"/>
      <c r="B38" s="154"/>
      <c r="C38" s="154"/>
      <c r="D38" s="154"/>
      <c r="E38" s="6" t="s">
        <v>153</v>
      </c>
      <c r="F38" s="7" t="s">
        <v>98</v>
      </c>
      <c r="G38" s="18">
        <f t="shared" si="2"/>
        <v>0</v>
      </c>
      <c r="H38" s="7"/>
      <c r="I38" s="7"/>
      <c r="J38" s="7"/>
      <c r="K38" s="7"/>
      <c r="L38" s="7"/>
      <c r="M38" s="7"/>
      <c r="N38" s="20"/>
      <c r="O38" s="20"/>
      <c r="P38" s="20"/>
      <c r="Q38" s="20"/>
      <c r="R38" s="20"/>
      <c r="S38" s="20"/>
    </row>
    <row r="39" spans="1:19" ht="20" customHeight="1">
      <c r="A39" s="153"/>
      <c r="B39" s="154"/>
      <c r="C39" s="153"/>
      <c r="D39" s="153"/>
      <c r="E39" s="6" t="s">
        <v>154</v>
      </c>
      <c r="F39" s="7" t="s">
        <v>98</v>
      </c>
      <c r="G39" s="18">
        <f t="shared" si="2"/>
        <v>0</v>
      </c>
      <c r="H39" s="7"/>
      <c r="I39" s="7"/>
      <c r="J39" s="7"/>
      <c r="K39" s="7"/>
      <c r="L39" s="7"/>
      <c r="M39" s="7"/>
      <c r="N39" s="20"/>
      <c r="O39" s="20"/>
      <c r="P39" s="20"/>
      <c r="Q39" s="20"/>
      <c r="R39" s="20"/>
      <c r="S39" s="20"/>
    </row>
    <row r="40" spans="1:19" ht="20" customHeight="1">
      <c r="A40" s="152">
        <v>3</v>
      </c>
      <c r="B40" s="154"/>
      <c r="C40" s="152" t="s">
        <v>155</v>
      </c>
      <c r="D40" s="152" t="s">
        <v>13</v>
      </c>
      <c r="E40" s="6" t="s">
        <v>156</v>
      </c>
      <c r="F40" s="7" t="s">
        <v>132</v>
      </c>
      <c r="G40" s="18">
        <f t="shared" si="2"/>
        <v>0</v>
      </c>
      <c r="H40" s="7"/>
      <c r="I40" s="7"/>
      <c r="J40" s="7"/>
      <c r="K40" s="7"/>
      <c r="L40" s="7"/>
      <c r="M40" s="7"/>
      <c r="N40" s="7"/>
      <c r="O40" s="19"/>
      <c r="P40" s="7"/>
      <c r="Q40" s="7"/>
      <c r="R40" s="7"/>
      <c r="S40" s="7"/>
    </row>
    <row r="41" spans="1:19" ht="20" customHeight="1">
      <c r="A41" s="154"/>
      <c r="B41" s="154"/>
      <c r="C41" s="154"/>
      <c r="D41" s="154"/>
      <c r="E41" s="6" t="s">
        <v>157</v>
      </c>
      <c r="F41" s="7" t="s">
        <v>134</v>
      </c>
      <c r="G41" s="18">
        <f t="shared" si="2"/>
        <v>0</v>
      </c>
      <c r="H41" s="7"/>
      <c r="I41" s="7"/>
      <c r="J41" s="7"/>
      <c r="K41" s="7"/>
      <c r="L41" s="7"/>
      <c r="M41" s="7"/>
      <c r="N41" s="7"/>
      <c r="O41" s="19"/>
      <c r="P41" s="19"/>
      <c r="Q41" s="7"/>
      <c r="R41" s="7"/>
      <c r="S41" s="7"/>
    </row>
    <row r="42" spans="1:19" ht="20" customHeight="1">
      <c r="A42" s="154"/>
      <c r="B42" s="154"/>
      <c r="C42" s="154"/>
      <c r="D42" s="154"/>
      <c r="E42" s="6" t="s">
        <v>158</v>
      </c>
      <c r="F42" s="7" t="s">
        <v>100</v>
      </c>
      <c r="G42" s="18">
        <f t="shared" si="2"/>
        <v>0</v>
      </c>
      <c r="H42" s="7"/>
      <c r="I42" s="7"/>
      <c r="J42" s="7"/>
      <c r="K42" s="7"/>
      <c r="L42" s="7"/>
      <c r="M42" s="7"/>
      <c r="N42" s="7"/>
      <c r="O42" s="7"/>
      <c r="P42" s="19"/>
      <c r="Q42" s="19"/>
      <c r="R42" s="7"/>
      <c r="S42" s="7"/>
    </row>
    <row r="43" spans="1:19" ht="20" customHeight="1">
      <c r="A43" s="154"/>
      <c r="B43" s="154"/>
      <c r="C43" s="154"/>
      <c r="D43" s="154"/>
      <c r="E43" s="6" t="s">
        <v>159</v>
      </c>
      <c r="F43" s="7" t="s">
        <v>100</v>
      </c>
      <c r="G43" s="18">
        <f t="shared" si="2"/>
        <v>0</v>
      </c>
      <c r="H43" s="7"/>
      <c r="I43" s="7"/>
      <c r="J43" s="7"/>
      <c r="K43" s="7"/>
      <c r="L43" s="7"/>
      <c r="M43" s="7"/>
      <c r="N43" s="7"/>
      <c r="O43" s="7"/>
      <c r="P43" s="19"/>
      <c r="Q43" s="19"/>
      <c r="R43" s="7"/>
      <c r="S43" s="7"/>
    </row>
    <row r="44" spans="1:19" ht="20" customHeight="1">
      <c r="A44" s="153"/>
      <c r="B44" s="153"/>
      <c r="C44" s="153"/>
      <c r="D44" s="153"/>
      <c r="E44" s="6" t="s">
        <v>160</v>
      </c>
      <c r="F44" s="7" t="s">
        <v>100</v>
      </c>
      <c r="G44" s="18">
        <f>COUNTIF(H44:S44,$T$2)/12</f>
        <v>0</v>
      </c>
      <c r="H44" s="7"/>
      <c r="I44" s="7"/>
      <c r="J44" s="7"/>
      <c r="K44" s="7"/>
      <c r="L44" s="7"/>
      <c r="M44" s="7"/>
      <c r="N44" s="7"/>
      <c r="O44" s="7"/>
      <c r="P44" s="7"/>
      <c r="Q44" s="19"/>
      <c r="R44" s="7"/>
      <c r="S44" s="7"/>
    </row>
    <row r="45" spans="1:19" ht="20" customHeight="1">
      <c r="A45" s="152">
        <v>1</v>
      </c>
      <c r="B45" s="152" t="s">
        <v>161</v>
      </c>
      <c r="C45" s="152" t="s">
        <v>162</v>
      </c>
      <c r="D45" s="152" t="s">
        <v>13</v>
      </c>
      <c r="E45" s="6" t="s">
        <v>163</v>
      </c>
      <c r="F45" s="7" t="s">
        <v>125</v>
      </c>
      <c r="G45" s="18">
        <f>COUNTIF(H45:S45,$T$2)/12</f>
        <v>8.3333333333333329E-2</v>
      </c>
      <c r="H45" s="22" t="s">
        <v>93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</row>
    <row r="46" spans="1:19" ht="20" customHeight="1">
      <c r="A46" s="154"/>
      <c r="B46" s="154"/>
      <c r="C46" s="154"/>
      <c r="D46" s="154"/>
      <c r="E46" s="8" t="s">
        <v>164</v>
      </c>
      <c r="F46" s="13" t="s">
        <v>165</v>
      </c>
      <c r="G46" s="18">
        <f>COUNTIF(H46:S46,$T$2)/12</f>
        <v>8.3333333333333329E-2</v>
      </c>
      <c r="H46" s="22" t="s">
        <v>93</v>
      </c>
      <c r="I46" s="22"/>
      <c r="J46" s="13"/>
      <c r="K46" s="13"/>
      <c r="L46" s="13"/>
      <c r="M46" s="13"/>
      <c r="N46" s="13"/>
      <c r="O46" s="13"/>
      <c r="P46" s="13"/>
      <c r="Q46" s="13"/>
      <c r="R46" s="13"/>
      <c r="S46" s="13"/>
    </row>
    <row r="47" spans="1:19" ht="20" customHeight="1">
      <c r="A47" s="153"/>
      <c r="B47" s="154"/>
      <c r="C47" s="153"/>
      <c r="D47" s="153"/>
      <c r="E47" s="6" t="s">
        <v>166</v>
      </c>
      <c r="F47" s="7" t="s">
        <v>91</v>
      </c>
      <c r="G47" s="18">
        <f t="shared" ref="G47:G57" si="3">COUNTIF(H47:S47,$T$2)/12</f>
        <v>0</v>
      </c>
      <c r="H47" s="7"/>
      <c r="I47" s="22"/>
      <c r="J47" s="22"/>
      <c r="K47" s="7"/>
      <c r="L47" s="7"/>
      <c r="M47" s="7"/>
      <c r="N47" s="7"/>
      <c r="O47" s="7"/>
      <c r="P47" s="7"/>
      <c r="Q47" s="7"/>
      <c r="R47" s="7"/>
      <c r="S47" s="7"/>
    </row>
    <row r="48" spans="1:19" ht="20" customHeight="1">
      <c r="A48" s="152">
        <v>2</v>
      </c>
      <c r="B48" s="154"/>
      <c r="C48" s="152" t="s">
        <v>167</v>
      </c>
      <c r="D48" s="152" t="s">
        <v>8</v>
      </c>
      <c r="E48" s="6" t="s">
        <v>168</v>
      </c>
      <c r="F48" s="7" t="s">
        <v>114</v>
      </c>
      <c r="G48" s="18">
        <f t="shared" si="3"/>
        <v>0</v>
      </c>
      <c r="H48" s="7"/>
      <c r="I48" s="7"/>
      <c r="J48" s="7"/>
      <c r="K48" s="20"/>
      <c r="L48" s="20"/>
      <c r="M48" s="20"/>
      <c r="N48" s="7"/>
      <c r="O48" s="7"/>
      <c r="P48" s="7"/>
      <c r="Q48" s="7"/>
      <c r="R48" s="7"/>
      <c r="S48" s="7"/>
    </row>
    <row r="49" spans="1:19" ht="20" customHeight="1">
      <c r="A49" s="154"/>
      <c r="B49" s="154"/>
      <c r="C49" s="154"/>
      <c r="D49" s="154"/>
      <c r="E49" s="6" t="s">
        <v>169</v>
      </c>
      <c r="F49" s="7" t="s">
        <v>129</v>
      </c>
      <c r="G49" s="18">
        <f t="shared" si="3"/>
        <v>0</v>
      </c>
      <c r="H49" s="7"/>
      <c r="I49" s="7"/>
      <c r="J49" s="7"/>
      <c r="K49" s="7"/>
      <c r="L49" s="7"/>
      <c r="M49" s="20"/>
      <c r="N49" s="20"/>
      <c r="O49" s="7"/>
      <c r="P49" s="7"/>
      <c r="Q49" s="7"/>
      <c r="R49" s="7"/>
      <c r="S49" s="7"/>
    </row>
    <row r="50" spans="1:19" ht="20" customHeight="1">
      <c r="A50" s="153"/>
      <c r="B50" s="154"/>
      <c r="C50" s="153"/>
      <c r="D50" s="153"/>
      <c r="E50" s="6" t="s">
        <v>170</v>
      </c>
      <c r="F50" s="7" t="s">
        <v>114</v>
      </c>
      <c r="G50" s="18">
        <f t="shared" si="3"/>
        <v>0</v>
      </c>
      <c r="H50" s="7"/>
      <c r="I50" s="7"/>
      <c r="J50" s="7"/>
      <c r="K50" s="7"/>
      <c r="L50" s="20"/>
      <c r="M50" s="20"/>
      <c r="N50" s="7"/>
      <c r="O50" s="7"/>
      <c r="P50" s="7"/>
      <c r="Q50" s="7"/>
      <c r="R50" s="7"/>
      <c r="S50" s="7"/>
    </row>
    <row r="51" spans="1:19" ht="20" customHeight="1">
      <c r="A51" s="152">
        <v>3</v>
      </c>
      <c r="B51" s="154"/>
      <c r="C51" s="152" t="s">
        <v>171</v>
      </c>
      <c r="D51" s="152" t="s">
        <v>29</v>
      </c>
      <c r="E51" s="6" t="s">
        <v>172</v>
      </c>
      <c r="F51" s="7" t="s">
        <v>98</v>
      </c>
      <c r="G51" s="18">
        <f t="shared" si="3"/>
        <v>0</v>
      </c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</row>
    <row r="52" spans="1:19" ht="20" customHeight="1">
      <c r="A52" s="154"/>
      <c r="B52" s="154"/>
      <c r="C52" s="154"/>
      <c r="D52" s="154"/>
      <c r="E52" s="6" t="s">
        <v>173</v>
      </c>
      <c r="F52" s="7" t="s">
        <v>165</v>
      </c>
      <c r="G52" s="18">
        <f t="shared" si="3"/>
        <v>0</v>
      </c>
      <c r="H52" s="24"/>
      <c r="I52" s="24"/>
      <c r="J52" s="7"/>
      <c r="K52" s="7"/>
      <c r="L52" s="7"/>
      <c r="M52" s="7"/>
      <c r="N52" s="7"/>
      <c r="O52" s="7"/>
      <c r="P52" s="7"/>
      <c r="Q52" s="7"/>
      <c r="R52" s="7"/>
      <c r="S52" s="7"/>
    </row>
    <row r="53" spans="1:19" ht="20" customHeight="1">
      <c r="A53" s="153"/>
      <c r="B53" s="154"/>
      <c r="C53" s="153"/>
      <c r="D53" s="153"/>
      <c r="E53" s="6" t="s">
        <v>174</v>
      </c>
      <c r="F53" s="7" t="s">
        <v>134</v>
      </c>
      <c r="G53" s="18">
        <f t="shared" si="3"/>
        <v>0</v>
      </c>
      <c r="H53" s="7"/>
      <c r="I53" s="7"/>
      <c r="J53" s="7"/>
      <c r="K53" s="7"/>
      <c r="L53" s="7"/>
      <c r="M53" s="24"/>
      <c r="N53" s="24"/>
      <c r="O53" s="24"/>
      <c r="P53" s="24"/>
      <c r="Q53" s="7"/>
      <c r="R53" s="7"/>
      <c r="S53" s="7"/>
    </row>
    <row r="54" spans="1:19" ht="20" customHeight="1">
      <c r="A54" s="152">
        <v>4</v>
      </c>
      <c r="B54" s="154"/>
      <c r="C54" s="152" t="s">
        <v>175</v>
      </c>
      <c r="D54" s="152" t="s">
        <v>8</v>
      </c>
      <c r="E54" s="6" t="s">
        <v>176</v>
      </c>
      <c r="F54" s="7" t="s">
        <v>177</v>
      </c>
      <c r="G54" s="18">
        <f t="shared" si="3"/>
        <v>0</v>
      </c>
      <c r="H54" s="7"/>
      <c r="I54" s="7"/>
      <c r="J54" s="7"/>
      <c r="K54" s="7"/>
      <c r="L54" s="7"/>
      <c r="M54" s="7"/>
      <c r="N54" s="7"/>
      <c r="O54" s="7"/>
      <c r="P54" s="7"/>
      <c r="Q54" s="19"/>
      <c r="R54" s="19"/>
      <c r="S54" s="7"/>
    </row>
    <row r="55" spans="1:19" ht="20" customHeight="1">
      <c r="A55" s="153"/>
      <c r="B55" s="153"/>
      <c r="C55" s="153"/>
      <c r="D55" s="153"/>
      <c r="E55" s="6" t="s">
        <v>178</v>
      </c>
      <c r="F55" s="7" t="s">
        <v>98</v>
      </c>
      <c r="G55" s="18">
        <f t="shared" si="3"/>
        <v>0</v>
      </c>
      <c r="H55" s="7"/>
      <c r="I55" s="7"/>
      <c r="J55" s="7"/>
      <c r="K55" s="7"/>
      <c r="L55" s="7"/>
      <c r="M55" s="7"/>
      <c r="N55" s="7"/>
      <c r="O55" s="7"/>
      <c r="P55" s="7"/>
      <c r="Q55" s="19"/>
      <c r="R55" s="19"/>
      <c r="S55" s="19"/>
    </row>
    <row r="56" spans="1:19" ht="20" customHeight="1">
      <c r="A56" s="152">
        <v>1</v>
      </c>
      <c r="B56" s="152" t="s">
        <v>179</v>
      </c>
      <c r="C56" s="152" t="s">
        <v>180</v>
      </c>
      <c r="D56" s="151" t="s">
        <v>29</v>
      </c>
      <c r="E56" s="6" t="s">
        <v>181</v>
      </c>
      <c r="F56" s="7" t="s">
        <v>98</v>
      </c>
      <c r="G56" s="18">
        <f t="shared" si="3"/>
        <v>8.3333333333333329E-2</v>
      </c>
      <c r="H56" s="23" t="s">
        <v>93</v>
      </c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</row>
    <row r="57" spans="1:19" ht="20" customHeight="1">
      <c r="A57" s="153"/>
      <c r="B57" s="153"/>
      <c r="C57" s="153"/>
      <c r="D57" s="151"/>
      <c r="E57" s="6" t="s">
        <v>182</v>
      </c>
      <c r="F57" s="7" t="s">
        <v>98</v>
      </c>
      <c r="G57" s="18">
        <f t="shared" si="3"/>
        <v>0</v>
      </c>
      <c r="H57" s="7"/>
      <c r="I57" s="7"/>
      <c r="J57" s="7"/>
      <c r="K57" s="7"/>
      <c r="L57" s="7"/>
      <c r="M57" s="7"/>
      <c r="N57" s="7"/>
      <c r="O57" s="23"/>
      <c r="P57" s="23"/>
      <c r="Q57" s="23"/>
      <c r="R57" s="23"/>
      <c r="S57" s="23"/>
    </row>
  </sheetData>
  <mergeCells count="54">
    <mergeCell ref="D54:D55"/>
    <mergeCell ref="D56:D57"/>
    <mergeCell ref="C54:C55"/>
    <mergeCell ref="C56:C57"/>
    <mergeCell ref="D2:D6"/>
    <mergeCell ref="D7:D9"/>
    <mergeCell ref="D10:D12"/>
    <mergeCell ref="D13:D16"/>
    <mergeCell ref="D17:D20"/>
    <mergeCell ref="D21:D24"/>
    <mergeCell ref="D25:D28"/>
    <mergeCell ref="D29:D30"/>
    <mergeCell ref="D33:D36"/>
    <mergeCell ref="D37:D39"/>
    <mergeCell ref="D40:D44"/>
    <mergeCell ref="D45:D47"/>
    <mergeCell ref="D48:D50"/>
    <mergeCell ref="D51:D53"/>
    <mergeCell ref="C37:C39"/>
    <mergeCell ref="C40:C44"/>
    <mergeCell ref="C45:C47"/>
    <mergeCell ref="C48:C50"/>
    <mergeCell ref="C51:C53"/>
    <mergeCell ref="C21:C24"/>
    <mergeCell ref="C25:C28"/>
    <mergeCell ref="C29:C30"/>
    <mergeCell ref="C31:C32"/>
    <mergeCell ref="C33:C36"/>
    <mergeCell ref="C2:C6"/>
    <mergeCell ref="C7:C9"/>
    <mergeCell ref="C10:C12"/>
    <mergeCell ref="C13:C16"/>
    <mergeCell ref="C17:C20"/>
    <mergeCell ref="A54:A55"/>
    <mergeCell ref="A56:A57"/>
    <mergeCell ref="B2:B32"/>
    <mergeCell ref="B33:B44"/>
    <mergeCell ref="B45:B55"/>
    <mergeCell ref="B56:B57"/>
    <mergeCell ref="A37:A39"/>
    <mergeCell ref="A40:A44"/>
    <mergeCell ref="A45:A47"/>
    <mergeCell ref="A48:A50"/>
    <mergeCell ref="A51:A53"/>
    <mergeCell ref="A21:A24"/>
    <mergeCell ref="A25:A28"/>
    <mergeCell ref="A29:A30"/>
    <mergeCell ref="A31:A32"/>
    <mergeCell ref="A33:A36"/>
    <mergeCell ref="A2:A6"/>
    <mergeCell ref="A7:A9"/>
    <mergeCell ref="A10:A12"/>
    <mergeCell ref="A13:A16"/>
    <mergeCell ref="A17:A20"/>
  </mergeCells>
  <phoneticPr fontId="13" type="noConversion"/>
  <conditionalFormatting sqref="G2:G57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{684EE216-B76F-4D82-B945-7D1FF140278E}</x14:id>
        </ext>
      </extLst>
    </cfRule>
  </conditionalFormatting>
  <pageMargins left="0.75" right="0.75" top="1" bottom="1" header="0.51180555555555596" footer="0.51180555555555596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84EE216-B76F-4D82-B945-7D1FF14027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G2:G57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18"/>
  <sheetViews>
    <sheetView showGridLines="0" zoomScale="102" zoomScaleNormal="102" workbookViewId="0">
      <pane xSplit="6" topLeftCell="G1" activePane="topRight" state="frozen"/>
      <selection pane="topRight" activeCell="K13" sqref="K13"/>
    </sheetView>
  </sheetViews>
  <sheetFormatPr baseColWidth="10" defaultColWidth="9.1640625" defaultRowHeight="17"/>
  <cols>
    <col min="1" max="1" width="9.1640625" style="1"/>
    <col min="2" max="2" width="18.5" style="1" customWidth="1"/>
    <col min="3" max="3" width="15.33203125" style="1" customWidth="1"/>
    <col min="4" max="4" width="33" style="2" customWidth="1"/>
    <col min="5" max="5" width="12.1640625" style="1" customWidth="1"/>
    <col min="6" max="6" width="14.5" style="3" customWidth="1"/>
    <col min="7" max="7" width="10.5" style="1" customWidth="1"/>
  </cols>
  <sheetData>
    <row r="1" spans="1:37" ht="48" customHeight="1">
      <c r="A1" s="155" t="s">
        <v>183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  <c r="AI1" s="155"/>
      <c r="AJ1" s="155"/>
      <c r="AK1" s="155"/>
    </row>
    <row r="2" spans="1:37" ht="18">
      <c r="A2" s="5" t="s">
        <v>0</v>
      </c>
      <c r="B2" s="5" t="s">
        <v>71</v>
      </c>
      <c r="C2" s="5" t="s">
        <v>2</v>
      </c>
      <c r="D2" s="5" t="s">
        <v>72</v>
      </c>
      <c r="E2" s="5" t="s">
        <v>73</v>
      </c>
      <c r="F2" s="10" t="s">
        <v>74</v>
      </c>
      <c r="G2" s="5" t="s">
        <v>184</v>
      </c>
      <c r="H2" s="5" t="s">
        <v>185</v>
      </c>
      <c r="I2" s="5" t="s">
        <v>186</v>
      </c>
      <c r="J2" s="5" t="s">
        <v>187</v>
      </c>
      <c r="K2" s="5" t="s">
        <v>188</v>
      </c>
      <c r="L2" s="5" t="s">
        <v>189</v>
      </c>
      <c r="M2" s="5" t="s">
        <v>190</v>
      </c>
      <c r="N2" s="5" t="s">
        <v>191</v>
      </c>
      <c r="O2" s="5" t="s">
        <v>192</v>
      </c>
      <c r="P2" s="5" t="s">
        <v>193</v>
      </c>
      <c r="Q2" s="5" t="s">
        <v>194</v>
      </c>
      <c r="R2" s="5" t="s">
        <v>195</v>
      </c>
      <c r="S2" s="5" t="s">
        <v>196</v>
      </c>
      <c r="T2" s="5" t="s">
        <v>197</v>
      </c>
      <c r="U2" s="5" t="s">
        <v>198</v>
      </c>
      <c r="V2" s="5" t="s">
        <v>199</v>
      </c>
      <c r="W2" s="5" t="s">
        <v>200</v>
      </c>
      <c r="X2" s="5" t="s">
        <v>201</v>
      </c>
      <c r="Y2" s="5" t="s">
        <v>202</v>
      </c>
      <c r="Z2" s="5" t="s">
        <v>203</v>
      </c>
      <c r="AA2" s="5" t="s">
        <v>204</v>
      </c>
      <c r="AB2" s="5" t="s">
        <v>205</v>
      </c>
      <c r="AC2" s="5" t="s">
        <v>206</v>
      </c>
      <c r="AD2" s="5" t="s">
        <v>207</v>
      </c>
      <c r="AE2" s="5" t="s">
        <v>208</v>
      </c>
      <c r="AF2" s="5" t="s">
        <v>209</v>
      </c>
      <c r="AG2" s="5" t="s">
        <v>210</v>
      </c>
      <c r="AH2" s="5" t="s">
        <v>211</v>
      </c>
      <c r="AI2" s="5" t="s">
        <v>212</v>
      </c>
      <c r="AJ2" s="5" t="s">
        <v>213</v>
      </c>
      <c r="AK2" s="5" t="s">
        <v>214</v>
      </c>
    </row>
    <row r="3" spans="1:37" ht="18">
      <c r="A3" s="152">
        <v>1</v>
      </c>
      <c r="B3" s="151" t="s">
        <v>101</v>
      </c>
      <c r="C3" s="151" t="s">
        <v>29</v>
      </c>
      <c r="D3" s="6" t="s">
        <v>102</v>
      </c>
      <c r="E3" s="7" t="s">
        <v>91</v>
      </c>
      <c r="F3" s="11">
        <f>COUNTIF(G3:AJ3,$I$3)/31</f>
        <v>0.12903225806451613</v>
      </c>
      <c r="G3" s="12" t="s">
        <v>215</v>
      </c>
      <c r="H3" s="12" t="s">
        <v>215</v>
      </c>
      <c r="I3" s="12" t="s">
        <v>216</v>
      </c>
      <c r="J3" s="12" t="s">
        <v>216</v>
      </c>
      <c r="K3" s="12" t="s">
        <v>216</v>
      </c>
      <c r="L3" s="12" t="s">
        <v>216</v>
      </c>
      <c r="M3" s="12" t="s">
        <v>215</v>
      </c>
      <c r="N3" s="12" t="s">
        <v>215</v>
      </c>
      <c r="O3" s="12" t="s">
        <v>215</v>
      </c>
      <c r="P3" s="12" t="s">
        <v>215</v>
      </c>
      <c r="Q3" s="12" t="s">
        <v>215</v>
      </c>
      <c r="R3" s="12" t="s">
        <v>215</v>
      </c>
      <c r="S3" s="12" t="s">
        <v>215</v>
      </c>
      <c r="T3" s="12" t="s">
        <v>215</v>
      </c>
      <c r="U3" s="12" t="s">
        <v>215</v>
      </c>
      <c r="V3" s="12" t="s">
        <v>215</v>
      </c>
      <c r="W3" s="12" t="s">
        <v>215</v>
      </c>
      <c r="X3" s="12" t="s">
        <v>215</v>
      </c>
      <c r="Y3" s="12" t="s">
        <v>215</v>
      </c>
      <c r="Z3" s="12" t="s">
        <v>215</v>
      </c>
      <c r="AA3" s="12" t="s">
        <v>215</v>
      </c>
      <c r="AB3" s="12" t="s">
        <v>215</v>
      </c>
      <c r="AC3" s="12" t="s">
        <v>215</v>
      </c>
      <c r="AD3" s="12" t="s">
        <v>215</v>
      </c>
      <c r="AE3" s="12" t="s">
        <v>215</v>
      </c>
      <c r="AF3" s="12" t="s">
        <v>215</v>
      </c>
      <c r="AG3" s="12" t="s">
        <v>215</v>
      </c>
      <c r="AH3" s="12" t="s">
        <v>215</v>
      </c>
      <c r="AI3" s="12" t="s">
        <v>215</v>
      </c>
      <c r="AJ3" s="12" t="s">
        <v>215</v>
      </c>
      <c r="AK3" s="12" t="s">
        <v>215</v>
      </c>
    </row>
    <row r="4" spans="1:37" ht="18">
      <c r="A4" s="153"/>
      <c r="B4" s="151"/>
      <c r="C4" s="151"/>
      <c r="D4" s="6" t="s">
        <v>103</v>
      </c>
      <c r="E4" s="7" t="s">
        <v>104</v>
      </c>
      <c r="F4" s="11">
        <f t="shared" ref="F4:F18" si="0">COUNTIF(G4:AJ4,$I$3)/31</f>
        <v>0</v>
      </c>
      <c r="G4" s="12" t="s">
        <v>215</v>
      </c>
      <c r="H4" s="12" t="s">
        <v>215</v>
      </c>
      <c r="I4" s="12" t="s">
        <v>215</v>
      </c>
      <c r="J4" s="12" t="s">
        <v>215</v>
      </c>
      <c r="K4" s="12" t="s">
        <v>215</v>
      </c>
      <c r="L4" s="12" t="s">
        <v>215</v>
      </c>
      <c r="M4" s="12" t="s">
        <v>215</v>
      </c>
      <c r="N4" s="12" t="s">
        <v>215</v>
      </c>
      <c r="O4" s="12" t="s">
        <v>215</v>
      </c>
      <c r="P4" s="12" t="s">
        <v>215</v>
      </c>
      <c r="Q4" s="12" t="s">
        <v>215</v>
      </c>
      <c r="R4" s="12" t="s">
        <v>215</v>
      </c>
      <c r="S4" s="12" t="s">
        <v>215</v>
      </c>
      <c r="T4" s="12" t="s">
        <v>215</v>
      </c>
      <c r="U4" s="12" t="s">
        <v>215</v>
      </c>
      <c r="V4" s="12" t="s">
        <v>215</v>
      </c>
      <c r="W4" s="12" t="s">
        <v>215</v>
      </c>
      <c r="X4" s="12" t="s">
        <v>215</v>
      </c>
      <c r="Y4" s="12" t="s">
        <v>215</v>
      </c>
      <c r="Z4" s="12" t="s">
        <v>215</v>
      </c>
      <c r="AA4" s="12" t="s">
        <v>215</v>
      </c>
      <c r="AB4" s="12" t="s">
        <v>215</v>
      </c>
      <c r="AC4" s="12" t="s">
        <v>215</v>
      </c>
      <c r="AD4" s="12" t="s">
        <v>215</v>
      </c>
      <c r="AE4" s="12" t="s">
        <v>215</v>
      </c>
      <c r="AF4" s="12" t="s">
        <v>215</v>
      </c>
      <c r="AG4" s="12" t="s">
        <v>215</v>
      </c>
      <c r="AH4" s="12" t="s">
        <v>215</v>
      </c>
      <c r="AI4" s="12" t="s">
        <v>215</v>
      </c>
      <c r="AJ4" s="12" t="s">
        <v>215</v>
      </c>
      <c r="AK4" s="12" t="s">
        <v>215</v>
      </c>
    </row>
    <row r="5" spans="1:37" ht="30">
      <c r="A5" s="152">
        <v>2</v>
      </c>
      <c r="B5" s="151"/>
      <c r="C5" s="151"/>
      <c r="D5" s="6" t="s">
        <v>105</v>
      </c>
      <c r="E5" s="7" t="s">
        <v>91</v>
      </c>
      <c r="F5" s="11">
        <f t="shared" si="0"/>
        <v>3.2258064516129031E-2</v>
      </c>
      <c r="G5" s="12" t="s">
        <v>215</v>
      </c>
      <c r="H5" s="12" t="s">
        <v>215</v>
      </c>
      <c r="I5" s="12" t="s">
        <v>215</v>
      </c>
      <c r="J5" s="12" t="s">
        <v>215</v>
      </c>
      <c r="K5" s="12" t="s">
        <v>215</v>
      </c>
      <c r="L5" s="12" t="s">
        <v>215</v>
      </c>
      <c r="M5" s="12" t="s">
        <v>215</v>
      </c>
      <c r="N5" s="12" t="s">
        <v>215</v>
      </c>
      <c r="O5" s="12" t="s">
        <v>216</v>
      </c>
      <c r="P5" s="12" t="s">
        <v>215</v>
      </c>
      <c r="Q5" s="12" t="s">
        <v>215</v>
      </c>
      <c r="R5" s="12" t="s">
        <v>215</v>
      </c>
      <c r="S5" s="12" t="s">
        <v>215</v>
      </c>
      <c r="T5" s="12" t="s">
        <v>215</v>
      </c>
      <c r="U5" s="12" t="s">
        <v>215</v>
      </c>
      <c r="V5" s="12" t="s">
        <v>215</v>
      </c>
      <c r="W5" s="12" t="s">
        <v>215</v>
      </c>
      <c r="X5" s="12" t="s">
        <v>215</v>
      </c>
      <c r="Y5" s="12" t="s">
        <v>215</v>
      </c>
      <c r="Z5" s="12" t="s">
        <v>215</v>
      </c>
      <c r="AA5" s="12" t="s">
        <v>215</v>
      </c>
      <c r="AB5" s="12" t="s">
        <v>215</v>
      </c>
      <c r="AC5" s="12" t="s">
        <v>215</v>
      </c>
      <c r="AD5" s="12" t="s">
        <v>215</v>
      </c>
      <c r="AE5" s="12" t="s">
        <v>215</v>
      </c>
      <c r="AF5" s="12" t="s">
        <v>215</v>
      </c>
      <c r="AG5" s="12" t="s">
        <v>215</v>
      </c>
      <c r="AH5" s="12" t="s">
        <v>215</v>
      </c>
      <c r="AI5" s="12" t="s">
        <v>215</v>
      </c>
      <c r="AJ5" s="12" t="s">
        <v>215</v>
      </c>
      <c r="AK5" s="12" t="s">
        <v>215</v>
      </c>
    </row>
    <row r="6" spans="1:37" ht="18">
      <c r="A6" s="153"/>
      <c r="B6" s="151" t="s">
        <v>123</v>
      </c>
      <c r="C6" s="151" t="s">
        <v>8</v>
      </c>
      <c r="D6" s="6" t="s">
        <v>124</v>
      </c>
      <c r="E6" s="7" t="s">
        <v>125</v>
      </c>
      <c r="F6" s="11">
        <f>COUNTIF(G6:AJ6,$I$3)/3</f>
        <v>1</v>
      </c>
      <c r="G6" s="12" t="s">
        <v>215</v>
      </c>
      <c r="H6" s="12" t="s">
        <v>215</v>
      </c>
      <c r="I6" s="12" t="s">
        <v>215</v>
      </c>
      <c r="J6" s="12" t="s">
        <v>215</v>
      </c>
      <c r="K6" s="12" t="s">
        <v>215</v>
      </c>
      <c r="L6" s="12" t="s">
        <v>215</v>
      </c>
      <c r="M6" s="12" t="s">
        <v>215</v>
      </c>
      <c r="N6" s="12" t="s">
        <v>215</v>
      </c>
      <c r="O6" s="12" t="s">
        <v>215</v>
      </c>
      <c r="P6" s="12" t="s">
        <v>215</v>
      </c>
      <c r="Q6" s="12" t="s">
        <v>215</v>
      </c>
      <c r="R6" s="12" t="s">
        <v>215</v>
      </c>
      <c r="S6" s="12" t="s">
        <v>215</v>
      </c>
      <c r="T6" s="12" t="s">
        <v>215</v>
      </c>
      <c r="U6" s="12" t="s">
        <v>215</v>
      </c>
      <c r="V6" s="12" t="s">
        <v>215</v>
      </c>
      <c r="W6" s="12" t="s">
        <v>216</v>
      </c>
      <c r="X6" s="12" t="s">
        <v>216</v>
      </c>
      <c r="Y6" s="12" t="s">
        <v>216</v>
      </c>
      <c r="Z6" s="156"/>
      <c r="AA6" s="157"/>
      <c r="AB6" s="157"/>
      <c r="AC6" s="157"/>
      <c r="AD6" s="157"/>
      <c r="AE6" s="157"/>
      <c r="AF6" s="157"/>
      <c r="AG6" s="157"/>
      <c r="AH6" s="157"/>
      <c r="AI6" s="157"/>
      <c r="AJ6" s="157"/>
      <c r="AK6" s="158"/>
    </row>
    <row r="7" spans="1:37" ht="18">
      <c r="A7" s="7">
        <v>3</v>
      </c>
      <c r="B7" s="151"/>
      <c r="C7" s="151"/>
      <c r="D7" s="6" t="s">
        <v>126</v>
      </c>
      <c r="E7" s="7" t="s">
        <v>125</v>
      </c>
      <c r="F7" s="11">
        <f>COUNTIF(G7:AJ7,$I$3)/4</f>
        <v>1</v>
      </c>
      <c r="G7" s="12" t="s">
        <v>215</v>
      </c>
      <c r="H7" s="12" t="s">
        <v>215</v>
      </c>
      <c r="I7" s="12" t="s">
        <v>215</v>
      </c>
      <c r="J7" s="12" t="s">
        <v>215</v>
      </c>
      <c r="K7" s="12" t="s">
        <v>215</v>
      </c>
      <c r="L7" s="12" t="s">
        <v>215</v>
      </c>
      <c r="M7" s="12" t="s">
        <v>215</v>
      </c>
      <c r="N7" s="12" t="s">
        <v>215</v>
      </c>
      <c r="O7" s="12" t="s">
        <v>216</v>
      </c>
      <c r="P7" s="12" t="s">
        <v>215</v>
      </c>
      <c r="Q7" s="12" t="s">
        <v>215</v>
      </c>
      <c r="R7" s="12" t="s">
        <v>215</v>
      </c>
      <c r="S7" s="12" t="s">
        <v>215</v>
      </c>
      <c r="T7" s="12" t="s">
        <v>215</v>
      </c>
      <c r="U7" s="12" t="s">
        <v>215</v>
      </c>
      <c r="V7" s="12" t="s">
        <v>215</v>
      </c>
      <c r="W7" s="12" t="s">
        <v>216</v>
      </c>
      <c r="X7" s="12" t="s">
        <v>216</v>
      </c>
      <c r="Y7" s="12" t="s">
        <v>216</v>
      </c>
      <c r="Z7" s="156"/>
      <c r="AA7" s="157"/>
      <c r="AB7" s="157"/>
      <c r="AC7" s="157"/>
      <c r="AD7" s="157"/>
      <c r="AE7" s="157"/>
      <c r="AF7" s="157"/>
      <c r="AG7" s="157"/>
      <c r="AH7" s="157"/>
      <c r="AI7" s="157"/>
      <c r="AJ7" s="157"/>
      <c r="AK7" s="158"/>
    </row>
    <row r="8" spans="1:37" ht="22">
      <c r="A8" s="7">
        <v>4</v>
      </c>
      <c r="B8" s="7" t="s">
        <v>217</v>
      </c>
      <c r="C8" s="7"/>
      <c r="D8" s="6" t="s">
        <v>136</v>
      </c>
      <c r="E8" s="7" t="s">
        <v>125</v>
      </c>
      <c r="F8" s="11">
        <f>COUNTIF(G8:AJ8,$I$3)/4</f>
        <v>0.75</v>
      </c>
      <c r="G8" s="12" t="s">
        <v>215</v>
      </c>
      <c r="H8" s="12" t="s">
        <v>215</v>
      </c>
      <c r="I8" s="12" t="s">
        <v>215</v>
      </c>
      <c r="J8" s="12" t="s">
        <v>215</v>
      </c>
      <c r="K8" s="12" t="s">
        <v>215</v>
      </c>
      <c r="L8" s="103" t="s">
        <v>233</v>
      </c>
      <c r="M8" s="12" t="s">
        <v>215</v>
      </c>
      <c r="N8" s="12" t="s">
        <v>216</v>
      </c>
      <c r="O8" s="12" t="s">
        <v>216</v>
      </c>
      <c r="P8" s="12" t="s">
        <v>215</v>
      </c>
      <c r="Q8" s="12" t="s">
        <v>215</v>
      </c>
      <c r="R8" s="12" t="s">
        <v>215</v>
      </c>
      <c r="S8" s="12" t="s">
        <v>215</v>
      </c>
      <c r="T8" s="12" t="s">
        <v>215</v>
      </c>
      <c r="U8" s="12" t="s">
        <v>216</v>
      </c>
      <c r="V8" s="156"/>
      <c r="W8" s="157"/>
      <c r="X8" s="157"/>
      <c r="Y8" s="157"/>
      <c r="Z8" s="157"/>
      <c r="AA8" s="157"/>
      <c r="AB8" s="157"/>
      <c r="AC8" s="157"/>
      <c r="AD8" s="157"/>
      <c r="AE8" s="157"/>
      <c r="AF8" s="157"/>
      <c r="AG8" s="157"/>
      <c r="AH8" s="157"/>
      <c r="AI8" s="157"/>
      <c r="AJ8" s="157"/>
      <c r="AK8" s="158"/>
    </row>
    <row r="9" spans="1:37" ht="26" customHeight="1">
      <c r="A9" s="7">
        <v>5</v>
      </c>
      <c r="B9" s="13" t="s">
        <v>137</v>
      </c>
      <c r="C9" s="13" t="s">
        <v>8</v>
      </c>
      <c r="D9" s="6" t="s">
        <v>138</v>
      </c>
      <c r="E9" s="7" t="s">
        <v>139</v>
      </c>
      <c r="F9" s="11">
        <f>COUNTIF(G9:AJ9,$I$3)/2</f>
        <v>1</v>
      </c>
      <c r="G9" s="12" t="s">
        <v>215</v>
      </c>
      <c r="H9" s="12" t="s">
        <v>215</v>
      </c>
      <c r="I9" s="12" t="s">
        <v>215</v>
      </c>
      <c r="J9" s="12" t="s">
        <v>215</v>
      </c>
      <c r="K9" s="12" t="s">
        <v>215</v>
      </c>
      <c r="L9" s="12" t="s">
        <v>215</v>
      </c>
      <c r="M9" s="12" t="s">
        <v>215</v>
      </c>
      <c r="N9" s="12" t="s">
        <v>215</v>
      </c>
      <c r="O9" s="12" t="s">
        <v>215</v>
      </c>
      <c r="P9" s="12" t="s">
        <v>215</v>
      </c>
      <c r="Q9" s="12" t="s">
        <v>215</v>
      </c>
      <c r="R9" s="12" t="s">
        <v>215</v>
      </c>
      <c r="S9" s="12" t="s">
        <v>215</v>
      </c>
      <c r="T9" s="12" t="s">
        <v>216</v>
      </c>
      <c r="U9" s="12" t="s">
        <v>215</v>
      </c>
      <c r="V9" s="12" t="s">
        <v>215</v>
      </c>
      <c r="W9" s="12" t="s">
        <v>215</v>
      </c>
      <c r="X9" s="12" t="s">
        <v>215</v>
      </c>
      <c r="Y9" s="12" t="s">
        <v>216</v>
      </c>
      <c r="Z9" s="156"/>
      <c r="AA9" s="157"/>
      <c r="AB9" s="157"/>
      <c r="AC9" s="157"/>
      <c r="AD9" s="157"/>
      <c r="AE9" s="157"/>
      <c r="AF9" s="157"/>
      <c r="AG9" s="157"/>
      <c r="AH9" s="157"/>
      <c r="AI9" s="157"/>
      <c r="AJ9" s="157"/>
      <c r="AK9" s="158"/>
    </row>
    <row r="10" spans="1:37" ht="21" customHeight="1">
      <c r="A10" s="154">
        <v>6</v>
      </c>
      <c r="B10" s="152" t="s">
        <v>142</v>
      </c>
      <c r="C10" s="7" t="s">
        <v>29</v>
      </c>
      <c r="D10" s="6" t="s">
        <v>143</v>
      </c>
      <c r="E10" s="7" t="s">
        <v>125</v>
      </c>
      <c r="F10" s="11">
        <f t="shared" si="0"/>
        <v>0</v>
      </c>
      <c r="G10" s="12" t="s">
        <v>215</v>
      </c>
      <c r="H10" s="12" t="s">
        <v>215</v>
      </c>
      <c r="I10" s="12" t="s">
        <v>215</v>
      </c>
      <c r="J10" s="12" t="s">
        <v>215</v>
      </c>
      <c r="K10" s="12" t="s">
        <v>215</v>
      </c>
      <c r="L10" s="12" t="s">
        <v>215</v>
      </c>
      <c r="M10" s="12" t="s">
        <v>215</v>
      </c>
      <c r="N10" s="12" t="s">
        <v>215</v>
      </c>
      <c r="O10" s="12" t="s">
        <v>215</v>
      </c>
      <c r="P10" s="12" t="s">
        <v>215</v>
      </c>
      <c r="Q10" s="12" t="s">
        <v>215</v>
      </c>
      <c r="R10" s="12" t="s">
        <v>215</v>
      </c>
      <c r="S10" s="12" t="s">
        <v>215</v>
      </c>
      <c r="T10" s="12" t="s">
        <v>215</v>
      </c>
      <c r="U10" s="12" t="s">
        <v>215</v>
      </c>
      <c r="V10" s="12" t="s">
        <v>215</v>
      </c>
      <c r="W10" s="12" t="s">
        <v>215</v>
      </c>
      <c r="X10" s="12" t="s">
        <v>215</v>
      </c>
      <c r="Y10" s="12" t="s">
        <v>215</v>
      </c>
      <c r="Z10" s="12" t="s">
        <v>215</v>
      </c>
      <c r="AA10" s="12" t="s">
        <v>215</v>
      </c>
      <c r="AB10" s="12" t="s">
        <v>215</v>
      </c>
      <c r="AC10" s="12" t="s">
        <v>215</v>
      </c>
      <c r="AD10" s="12" t="s">
        <v>215</v>
      </c>
      <c r="AE10" s="12" t="s">
        <v>215</v>
      </c>
      <c r="AF10" s="12" t="s">
        <v>215</v>
      </c>
      <c r="AG10" s="12" t="s">
        <v>215</v>
      </c>
      <c r="AH10" s="12" t="s">
        <v>215</v>
      </c>
      <c r="AI10" s="12" t="s">
        <v>215</v>
      </c>
      <c r="AJ10" s="12" t="s">
        <v>215</v>
      </c>
      <c r="AK10" s="12" t="s">
        <v>215</v>
      </c>
    </row>
    <row r="11" spans="1:37" ht="23" customHeight="1">
      <c r="A11" s="153"/>
      <c r="B11" s="153"/>
      <c r="C11" s="7" t="s">
        <v>29</v>
      </c>
      <c r="D11" s="6" t="s">
        <v>144</v>
      </c>
      <c r="E11" s="7" t="s">
        <v>91</v>
      </c>
      <c r="F11" s="11">
        <f t="shared" si="0"/>
        <v>0.12903225806451613</v>
      </c>
      <c r="G11" s="12" t="s">
        <v>215</v>
      </c>
      <c r="H11" s="12" t="s">
        <v>215</v>
      </c>
      <c r="I11" s="12" t="s">
        <v>216</v>
      </c>
      <c r="J11" s="12" t="s">
        <v>215</v>
      </c>
      <c r="K11" s="12" t="s">
        <v>215</v>
      </c>
      <c r="L11" s="12" t="s">
        <v>215</v>
      </c>
      <c r="M11" s="12" t="s">
        <v>215</v>
      </c>
      <c r="N11" s="12" t="s">
        <v>216</v>
      </c>
      <c r="O11" s="12" t="s">
        <v>216</v>
      </c>
      <c r="P11" s="12" t="s">
        <v>216</v>
      </c>
      <c r="Q11" s="12" t="s">
        <v>215</v>
      </c>
      <c r="R11" s="12" t="s">
        <v>215</v>
      </c>
      <c r="S11" s="12" t="s">
        <v>215</v>
      </c>
      <c r="T11" s="12" t="s">
        <v>215</v>
      </c>
      <c r="U11" s="12" t="s">
        <v>215</v>
      </c>
      <c r="V11" s="12" t="s">
        <v>215</v>
      </c>
      <c r="W11" s="12" t="s">
        <v>215</v>
      </c>
      <c r="X11" s="12" t="s">
        <v>215</v>
      </c>
      <c r="Y11" s="12" t="s">
        <v>215</v>
      </c>
      <c r="Z11" s="12" t="s">
        <v>215</v>
      </c>
      <c r="AA11" s="12" t="s">
        <v>215</v>
      </c>
      <c r="AB11" s="12" t="s">
        <v>215</v>
      </c>
      <c r="AC11" s="12" t="s">
        <v>215</v>
      </c>
      <c r="AD11" s="12" t="s">
        <v>215</v>
      </c>
      <c r="AE11" s="12" t="s">
        <v>215</v>
      </c>
      <c r="AF11" s="12" t="s">
        <v>215</v>
      </c>
      <c r="AG11" s="12" t="s">
        <v>215</v>
      </c>
      <c r="AH11" s="12" t="s">
        <v>215</v>
      </c>
      <c r="AI11" s="12" t="s">
        <v>215</v>
      </c>
      <c r="AJ11" s="12" t="s">
        <v>215</v>
      </c>
      <c r="AK11" s="12" t="s">
        <v>215</v>
      </c>
    </row>
    <row r="12" spans="1:37" ht="18">
      <c r="A12" s="7">
        <v>7</v>
      </c>
      <c r="B12" s="152" t="s">
        <v>146</v>
      </c>
      <c r="C12" s="151" t="s">
        <v>29</v>
      </c>
      <c r="D12" s="6" t="s">
        <v>147</v>
      </c>
      <c r="E12" s="7" t="s">
        <v>125</v>
      </c>
      <c r="F12" s="11">
        <f t="shared" si="0"/>
        <v>0</v>
      </c>
      <c r="G12" s="12" t="s">
        <v>215</v>
      </c>
      <c r="H12" s="12" t="s">
        <v>215</v>
      </c>
      <c r="I12" s="12" t="s">
        <v>215</v>
      </c>
      <c r="J12" s="12" t="s">
        <v>215</v>
      </c>
      <c r="K12" s="12" t="s">
        <v>215</v>
      </c>
      <c r="L12" s="12" t="s">
        <v>215</v>
      </c>
      <c r="M12" s="12" t="s">
        <v>215</v>
      </c>
      <c r="N12" s="12" t="s">
        <v>215</v>
      </c>
      <c r="O12" s="12" t="s">
        <v>215</v>
      </c>
      <c r="P12" s="12" t="s">
        <v>215</v>
      </c>
      <c r="Q12" s="12" t="s">
        <v>215</v>
      </c>
      <c r="R12" s="12" t="s">
        <v>215</v>
      </c>
      <c r="S12" s="12" t="s">
        <v>215</v>
      </c>
      <c r="T12" s="12" t="s">
        <v>215</v>
      </c>
      <c r="U12" s="12" t="s">
        <v>215</v>
      </c>
      <c r="V12" s="12" t="s">
        <v>215</v>
      </c>
      <c r="W12" s="12" t="s">
        <v>215</v>
      </c>
      <c r="X12" s="12" t="s">
        <v>215</v>
      </c>
      <c r="Y12" s="12" t="s">
        <v>215</v>
      </c>
      <c r="Z12" s="12" t="s">
        <v>215</v>
      </c>
      <c r="AA12" s="12" t="s">
        <v>215</v>
      </c>
      <c r="AB12" s="12" t="s">
        <v>215</v>
      </c>
      <c r="AC12" s="12" t="s">
        <v>215</v>
      </c>
      <c r="AD12" s="12" t="s">
        <v>215</v>
      </c>
      <c r="AE12" s="12" t="s">
        <v>215</v>
      </c>
      <c r="AF12" s="12" t="s">
        <v>215</v>
      </c>
      <c r="AG12" s="12" t="s">
        <v>215</v>
      </c>
      <c r="AH12" s="12" t="s">
        <v>215</v>
      </c>
      <c r="AI12" s="12" t="s">
        <v>215</v>
      </c>
      <c r="AJ12" s="12" t="s">
        <v>215</v>
      </c>
      <c r="AK12" s="12" t="s">
        <v>215</v>
      </c>
    </row>
    <row r="13" spans="1:37" ht="18">
      <c r="A13" s="7">
        <v>8</v>
      </c>
      <c r="B13" s="154"/>
      <c r="C13" s="151"/>
      <c r="D13" s="6" t="s">
        <v>148</v>
      </c>
      <c r="E13" s="7" t="s">
        <v>114</v>
      </c>
      <c r="F13" s="11">
        <f t="shared" si="0"/>
        <v>9.6774193548387094E-2</v>
      </c>
      <c r="G13" s="12" t="s">
        <v>215</v>
      </c>
      <c r="H13" s="12" t="s">
        <v>215</v>
      </c>
      <c r="I13" s="12" t="s">
        <v>216</v>
      </c>
      <c r="J13" s="12" t="s">
        <v>216</v>
      </c>
      <c r="K13" s="12" t="s">
        <v>216</v>
      </c>
      <c r="L13" s="12" t="s">
        <v>215</v>
      </c>
      <c r="M13" s="12" t="s">
        <v>215</v>
      </c>
      <c r="N13" s="12" t="s">
        <v>215</v>
      </c>
      <c r="O13" s="12" t="s">
        <v>215</v>
      </c>
      <c r="P13" s="12" t="s">
        <v>215</v>
      </c>
      <c r="Q13" s="12" t="s">
        <v>215</v>
      </c>
      <c r="R13" s="12" t="s">
        <v>215</v>
      </c>
      <c r="S13" s="12" t="s">
        <v>215</v>
      </c>
      <c r="T13" s="12" t="s">
        <v>215</v>
      </c>
      <c r="U13" s="12" t="s">
        <v>215</v>
      </c>
      <c r="V13" s="12" t="s">
        <v>215</v>
      </c>
      <c r="W13" s="12" t="s">
        <v>215</v>
      </c>
      <c r="X13" s="12" t="s">
        <v>215</v>
      </c>
      <c r="Y13" s="12" t="s">
        <v>215</v>
      </c>
      <c r="Z13" s="12" t="s">
        <v>215</v>
      </c>
      <c r="AA13" s="12" t="s">
        <v>215</v>
      </c>
      <c r="AB13" s="12" t="s">
        <v>215</v>
      </c>
      <c r="AC13" s="12" t="s">
        <v>215</v>
      </c>
      <c r="AD13" s="12" t="s">
        <v>215</v>
      </c>
      <c r="AE13" s="12" t="s">
        <v>215</v>
      </c>
      <c r="AF13" s="12" t="s">
        <v>215</v>
      </c>
      <c r="AG13" s="12" t="s">
        <v>215</v>
      </c>
      <c r="AH13" s="12" t="s">
        <v>215</v>
      </c>
      <c r="AI13" s="12" t="s">
        <v>215</v>
      </c>
      <c r="AJ13" s="12" t="s">
        <v>215</v>
      </c>
      <c r="AK13" s="12" t="s">
        <v>215</v>
      </c>
    </row>
    <row r="14" spans="1:37" ht="18">
      <c r="A14" s="152">
        <v>9</v>
      </c>
      <c r="B14" s="152" t="s">
        <v>162</v>
      </c>
      <c r="C14" s="152" t="s">
        <v>13</v>
      </c>
      <c r="D14" s="6" t="s">
        <v>218</v>
      </c>
      <c r="E14" s="7" t="s">
        <v>125</v>
      </c>
      <c r="F14" s="11">
        <f t="shared" si="0"/>
        <v>0.19354838709677419</v>
      </c>
      <c r="G14" s="12" t="s">
        <v>215</v>
      </c>
      <c r="H14" s="12" t="s">
        <v>215</v>
      </c>
      <c r="I14" s="12" t="s">
        <v>215</v>
      </c>
      <c r="J14" s="12" t="s">
        <v>215</v>
      </c>
      <c r="K14" s="12" t="s">
        <v>215</v>
      </c>
      <c r="L14" s="12" t="s">
        <v>215</v>
      </c>
      <c r="M14" s="12" t="s">
        <v>215</v>
      </c>
      <c r="N14" s="12" t="s">
        <v>215</v>
      </c>
      <c r="O14" s="12" t="s">
        <v>215</v>
      </c>
      <c r="P14" s="12" t="s">
        <v>215</v>
      </c>
      <c r="Q14" s="12" t="s">
        <v>215</v>
      </c>
      <c r="R14" s="12" t="s">
        <v>215</v>
      </c>
      <c r="S14" s="12" t="s">
        <v>215</v>
      </c>
      <c r="T14" s="12" t="s">
        <v>216</v>
      </c>
      <c r="U14" s="12" t="s">
        <v>216</v>
      </c>
      <c r="V14" s="12" t="s">
        <v>216</v>
      </c>
      <c r="W14" s="12" t="s">
        <v>216</v>
      </c>
      <c r="X14" s="12" t="s">
        <v>216</v>
      </c>
      <c r="Y14" s="12" t="s">
        <v>215</v>
      </c>
      <c r="Z14" s="12" t="s">
        <v>215</v>
      </c>
      <c r="AA14" s="12" t="s">
        <v>215</v>
      </c>
      <c r="AB14" s="12" t="s">
        <v>215</v>
      </c>
      <c r="AC14" s="12" t="s">
        <v>215</v>
      </c>
      <c r="AD14" s="12" t="s">
        <v>216</v>
      </c>
      <c r="AE14" s="12" t="s">
        <v>215</v>
      </c>
      <c r="AF14" s="12" t="s">
        <v>215</v>
      </c>
      <c r="AG14" s="12" t="s">
        <v>215</v>
      </c>
      <c r="AH14" s="12" t="s">
        <v>215</v>
      </c>
      <c r="AI14" s="12" t="s">
        <v>215</v>
      </c>
      <c r="AJ14" s="12" t="s">
        <v>215</v>
      </c>
      <c r="AK14" s="12" t="s">
        <v>215</v>
      </c>
    </row>
    <row r="15" spans="1:37" ht="18">
      <c r="A15" s="153"/>
      <c r="B15" s="154"/>
      <c r="C15" s="154"/>
      <c r="D15" s="8" t="s">
        <v>219</v>
      </c>
      <c r="E15" s="13" t="s">
        <v>165</v>
      </c>
      <c r="F15" s="11">
        <f t="shared" si="0"/>
        <v>0.19354838709677419</v>
      </c>
      <c r="G15" s="12" t="s">
        <v>215</v>
      </c>
      <c r="H15" s="12" t="s">
        <v>215</v>
      </c>
      <c r="I15" s="12" t="s">
        <v>215</v>
      </c>
      <c r="J15" s="12" t="s">
        <v>215</v>
      </c>
      <c r="K15" s="12" t="s">
        <v>215</v>
      </c>
      <c r="L15" s="12" t="s">
        <v>215</v>
      </c>
      <c r="M15" s="12" t="s">
        <v>215</v>
      </c>
      <c r="N15" s="12" t="s">
        <v>215</v>
      </c>
      <c r="O15" s="12" t="s">
        <v>215</v>
      </c>
      <c r="P15" s="12" t="s">
        <v>215</v>
      </c>
      <c r="Q15" s="12" t="s">
        <v>215</v>
      </c>
      <c r="R15" s="12" t="s">
        <v>215</v>
      </c>
      <c r="S15" s="12" t="s">
        <v>216</v>
      </c>
      <c r="T15" s="12" t="s">
        <v>216</v>
      </c>
      <c r="U15" s="12" t="s">
        <v>215</v>
      </c>
      <c r="V15" s="12" t="s">
        <v>216</v>
      </c>
      <c r="W15" s="12" t="s">
        <v>215</v>
      </c>
      <c r="X15" s="12" t="s">
        <v>216</v>
      </c>
      <c r="Y15" s="12" t="s">
        <v>216</v>
      </c>
      <c r="Z15" s="12" t="s">
        <v>215</v>
      </c>
      <c r="AA15" s="12" t="s">
        <v>215</v>
      </c>
      <c r="AB15" s="12" t="s">
        <v>215</v>
      </c>
      <c r="AC15" s="12" t="s">
        <v>215</v>
      </c>
      <c r="AD15" s="12" t="s">
        <v>216</v>
      </c>
      <c r="AE15" s="12" t="s">
        <v>215</v>
      </c>
      <c r="AF15" s="12" t="s">
        <v>215</v>
      </c>
      <c r="AG15" s="12" t="s">
        <v>215</v>
      </c>
      <c r="AH15" s="12" t="s">
        <v>215</v>
      </c>
      <c r="AI15" s="12" t="s">
        <v>215</v>
      </c>
      <c r="AJ15" s="12" t="s">
        <v>215</v>
      </c>
      <c r="AK15" s="12" t="s">
        <v>215</v>
      </c>
    </row>
    <row r="16" spans="1:37" ht="18">
      <c r="A16" s="151">
        <v>10</v>
      </c>
      <c r="B16" s="151" t="s">
        <v>171</v>
      </c>
      <c r="C16" s="152" t="s">
        <v>29</v>
      </c>
      <c r="D16" s="6" t="s">
        <v>172</v>
      </c>
      <c r="E16" s="7" t="s">
        <v>98</v>
      </c>
      <c r="F16" s="11">
        <f t="shared" si="0"/>
        <v>0</v>
      </c>
      <c r="G16" s="12" t="s">
        <v>215</v>
      </c>
      <c r="H16" s="12" t="s">
        <v>215</v>
      </c>
      <c r="I16" s="12" t="s">
        <v>215</v>
      </c>
      <c r="J16" s="12" t="s">
        <v>215</v>
      </c>
      <c r="K16" s="12" t="s">
        <v>215</v>
      </c>
      <c r="L16" s="12" t="s">
        <v>215</v>
      </c>
      <c r="M16" s="12" t="s">
        <v>215</v>
      </c>
      <c r="N16" s="12" t="s">
        <v>215</v>
      </c>
      <c r="O16" s="12" t="s">
        <v>215</v>
      </c>
      <c r="P16" s="12" t="s">
        <v>215</v>
      </c>
      <c r="Q16" s="12" t="s">
        <v>215</v>
      </c>
      <c r="R16" s="12" t="s">
        <v>215</v>
      </c>
      <c r="S16" s="12" t="s">
        <v>215</v>
      </c>
      <c r="T16" s="12" t="s">
        <v>215</v>
      </c>
      <c r="U16" s="12" t="s">
        <v>215</v>
      </c>
      <c r="V16" s="12" t="s">
        <v>215</v>
      </c>
      <c r="W16" s="12" t="s">
        <v>215</v>
      </c>
      <c r="X16" s="12" t="s">
        <v>215</v>
      </c>
      <c r="Y16" s="12" t="s">
        <v>215</v>
      </c>
      <c r="Z16" s="12" t="s">
        <v>215</v>
      </c>
      <c r="AA16" s="12" t="s">
        <v>215</v>
      </c>
      <c r="AB16" s="12" t="s">
        <v>215</v>
      </c>
      <c r="AC16" s="12" t="s">
        <v>215</v>
      </c>
      <c r="AD16" s="12" t="s">
        <v>215</v>
      </c>
      <c r="AE16" s="12" t="s">
        <v>215</v>
      </c>
      <c r="AF16" s="12" t="s">
        <v>215</v>
      </c>
      <c r="AG16" s="12" t="s">
        <v>215</v>
      </c>
      <c r="AH16" s="12" t="s">
        <v>215</v>
      </c>
      <c r="AI16" s="12" t="s">
        <v>215</v>
      </c>
      <c r="AJ16" s="12" t="s">
        <v>215</v>
      </c>
      <c r="AK16" s="12" t="s">
        <v>215</v>
      </c>
    </row>
    <row r="17" spans="1:37" ht="18">
      <c r="A17" s="151"/>
      <c r="B17" s="151"/>
      <c r="C17" s="154"/>
      <c r="D17" s="6" t="s">
        <v>173</v>
      </c>
      <c r="E17" s="7" t="s">
        <v>165</v>
      </c>
      <c r="F17" s="11">
        <f t="shared" si="0"/>
        <v>0</v>
      </c>
      <c r="G17" s="12" t="s">
        <v>215</v>
      </c>
      <c r="H17" s="12" t="s">
        <v>215</v>
      </c>
      <c r="I17" s="12" t="s">
        <v>215</v>
      </c>
      <c r="J17" s="12" t="s">
        <v>215</v>
      </c>
      <c r="K17" s="12" t="s">
        <v>215</v>
      </c>
      <c r="L17" s="12" t="s">
        <v>215</v>
      </c>
      <c r="M17" s="12" t="s">
        <v>215</v>
      </c>
      <c r="N17" s="12" t="s">
        <v>215</v>
      </c>
      <c r="O17" s="12" t="s">
        <v>215</v>
      </c>
      <c r="P17" s="12" t="s">
        <v>215</v>
      </c>
      <c r="Q17" s="12" t="s">
        <v>215</v>
      </c>
      <c r="R17" s="12" t="s">
        <v>215</v>
      </c>
      <c r="S17" s="12" t="s">
        <v>215</v>
      </c>
      <c r="T17" s="12" t="s">
        <v>215</v>
      </c>
      <c r="U17" s="12" t="s">
        <v>215</v>
      </c>
      <c r="V17" s="12" t="s">
        <v>215</v>
      </c>
      <c r="W17" s="12" t="s">
        <v>215</v>
      </c>
      <c r="X17" s="12" t="s">
        <v>215</v>
      </c>
      <c r="Y17" s="12" t="s">
        <v>215</v>
      </c>
      <c r="Z17" s="12" t="s">
        <v>215</v>
      </c>
      <c r="AA17" s="12" t="s">
        <v>215</v>
      </c>
      <c r="AB17" s="12" t="s">
        <v>215</v>
      </c>
      <c r="AC17" s="12" t="s">
        <v>215</v>
      </c>
      <c r="AD17" s="12" t="s">
        <v>215</v>
      </c>
      <c r="AE17" s="12" t="s">
        <v>215</v>
      </c>
      <c r="AF17" s="12" t="s">
        <v>215</v>
      </c>
      <c r="AG17" s="12" t="s">
        <v>215</v>
      </c>
      <c r="AH17" s="12" t="s">
        <v>215</v>
      </c>
      <c r="AI17" s="12" t="s">
        <v>215</v>
      </c>
      <c r="AJ17" s="12" t="s">
        <v>215</v>
      </c>
      <c r="AK17" s="12" t="s">
        <v>215</v>
      </c>
    </row>
    <row r="18" spans="1:37" ht="18">
      <c r="A18" s="7">
        <v>11</v>
      </c>
      <c r="B18" s="7" t="s">
        <v>180</v>
      </c>
      <c r="C18" s="7" t="s">
        <v>29</v>
      </c>
      <c r="D18" s="6" t="s">
        <v>220</v>
      </c>
      <c r="E18" s="7" t="s">
        <v>98</v>
      </c>
      <c r="F18" s="11">
        <f t="shared" si="0"/>
        <v>0.12903225806451613</v>
      </c>
      <c r="G18" s="12" t="s">
        <v>215</v>
      </c>
      <c r="H18" s="12" t="s">
        <v>215</v>
      </c>
      <c r="I18" s="12" t="s">
        <v>215</v>
      </c>
      <c r="J18" s="12" t="s">
        <v>215</v>
      </c>
      <c r="K18" s="12" t="s">
        <v>215</v>
      </c>
      <c r="L18" s="12" t="s">
        <v>215</v>
      </c>
      <c r="M18" s="12" t="s">
        <v>215</v>
      </c>
      <c r="N18" s="12" t="s">
        <v>215</v>
      </c>
      <c r="O18" s="12" t="s">
        <v>215</v>
      </c>
      <c r="P18" s="12" t="s">
        <v>215</v>
      </c>
      <c r="Q18" s="12" t="s">
        <v>215</v>
      </c>
      <c r="R18" s="12" t="s">
        <v>215</v>
      </c>
      <c r="S18" s="12" t="s">
        <v>215</v>
      </c>
      <c r="T18" s="12" t="s">
        <v>215</v>
      </c>
      <c r="U18" s="12" t="s">
        <v>216</v>
      </c>
      <c r="V18" s="12" t="s">
        <v>216</v>
      </c>
      <c r="W18" s="12" t="s">
        <v>216</v>
      </c>
      <c r="X18" s="12" t="s">
        <v>215</v>
      </c>
      <c r="Y18" s="12" t="s">
        <v>216</v>
      </c>
      <c r="Z18" s="12" t="s">
        <v>215</v>
      </c>
      <c r="AA18" s="12" t="s">
        <v>215</v>
      </c>
      <c r="AB18" s="12" t="s">
        <v>215</v>
      </c>
      <c r="AC18" s="12" t="s">
        <v>215</v>
      </c>
      <c r="AD18" s="12" t="s">
        <v>215</v>
      </c>
      <c r="AE18" s="12" t="s">
        <v>215</v>
      </c>
      <c r="AF18" s="12" t="s">
        <v>215</v>
      </c>
      <c r="AG18" s="12" t="s">
        <v>215</v>
      </c>
      <c r="AH18" s="12" t="s">
        <v>215</v>
      </c>
      <c r="AI18" s="12" t="s">
        <v>215</v>
      </c>
      <c r="AJ18" s="12" t="s">
        <v>215</v>
      </c>
      <c r="AK18" s="12" t="s">
        <v>215</v>
      </c>
    </row>
  </sheetData>
  <mergeCells count="21">
    <mergeCell ref="C16:C17"/>
    <mergeCell ref="A10:A11"/>
    <mergeCell ref="A14:A15"/>
    <mergeCell ref="A16:A17"/>
    <mergeCell ref="B16:B17"/>
    <mergeCell ref="B10:B11"/>
    <mergeCell ref="B12:B13"/>
    <mergeCell ref="B14:B15"/>
    <mergeCell ref="C12:C13"/>
    <mergeCell ref="C14:C15"/>
    <mergeCell ref="A1:AK1"/>
    <mergeCell ref="Z6:AK6"/>
    <mergeCell ref="Z7:AK7"/>
    <mergeCell ref="V8:AK8"/>
    <mergeCell ref="Z9:AK9"/>
    <mergeCell ref="A3:A4"/>
    <mergeCell ref="A5:A6"/>
    <mergeCell ref="C3:C5"/>
    <mergeCell ref="C6:C7"/>
    <mergeCell ref="B3:B5"/>
    <mergeCell ref="B6:B7"/>
  </mergeCells>
  <phoneticPr fontId="13" type="noConversion"/>
  <conditionalFormatting sqref="F3:F1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{64ABEB00-0E55-464B-92E5-F56A9D84A029}</x14:id>
        </ext>
      </extLst>
    </cfRule>
  </conditionalFormatting>
  <pageMargins left="0.75" right="0.75" top="1" bottom="1" header="0.51180555555555596" footer="0.51180555555555596"/>
  <pageSetup paperSize="9"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4ABEB00-0E55-464B-92E5-F56A9D84A0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F3:F18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22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C15" sqref="AC15"/>
    </sheetView>
  </sheetViews>
  <sheetFormatPr baseColWidth="10" defaultColWidth="9.1640625" defaultRowHeight="17"/>
  <cols>
    <col min="1" max="1" width="9.1640625" style="1"/>
    <col min="2" max="2" width="18.5" style="1" customWidth="1"/>
    <col min="3" max="3" width="15.33203125" style="1" customWidth="1"/>
    <col min="4" max="4" width="33" style="2" customWidth="1"/>
    <col min="5" max="5" width="12.1640625" style="1" customWidth="1"/>
    <col min="6" max="6" width="14.5" style="3" customWidth="1"/>
    <col min="7" max="7" width="10.5" style="1" customWidth="1"/>
  </cols>
  <sheetData>
    <row r="1" spans="1:35" ht="48" customHeight="1">
      <c r="A1" s="155" t="s">
        <v>183</v>
      </c>
      <c r="B1" s="155"/>
      <c r="C1" s="155"/>
      <c r="D1" s="155"/>
      <c r="E1" s="155"/>
      <c r="F1" s="155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  <row r="2" spans="1:35" ht="18">
      <c r="A2" s="5" t="s">
        <v>0</v>
      </c>
      <c r="B2" s="5" t="s">
        <v>71</v>
      </c>
      <c r="C2" s="5" t="s">
        <v>2</v>
      </c>
      <c r="D2" s="5" t="s">
        <v>72</v>
      </c>
      <c r="E2" s="5" t="s">
        <v>73</v>
      </c>
      <c r="F2" s="10" t="s">
        <v>74</v>
      </c>
      <c r="G2" s="5" t="s">
        <v>184</v>
      </c>
      <c r="H2" s="5" t="s">
        <v>185</v>
      </c>
      <c r="I2" s="5" t="s">
        <v>186</v>
      </c>
      <c r="J2" s="5" t="s">
        <v>187</v>
      </c>
      <c r="K2" s="5" t="s">
        <v>188</v>
      </c>
      <c r="L2" s="5" t="s">
        <v>189</v>
      </c>
      <c r="M2" s="5" t="s">
        <v>190</v>
      </c>
      <c r="N2" s="5" t="s">
        <v>191</v>
      </c>
      <c r="O2" s="5" t="s">
        <v>192</v>
      </c>
      <c r="P2" s="5" t="s">
        <v>193</v>
      </c>
      <c r="Q2" s="5" t="s">
        <v>194</v>
      </c>
      <c r="R2" s="5" t="s">
        <v>195</v>
      </c>
      <c r="S2" s="5" t="s">
        <v>196</v>
      </c>
      <c r="T2" s="5" t="s">
        <v>197</v>
      </c>
      <c r="U2" s="5" t="s">
        <v>198</v>
      </c>
      <c r="V2" s="5" t="s">
        <v>199</v>
      </c>
      <c r="W2" s="5" t="s">
        <v>200</v>
      </c>
      <c r="X2" s="5" t="s">
        <v>201</v>
      </c>
      <c r="Y2" s="5" t="s">
        <v>202</v>
      </c>
      <c r="Z2" s="5" t="s">
        <v>203</v>
      </c>
      <c r="AA2" s="5" t="s">
        <v>204</v>
      </c>
      <c r="AB2" s="5" t="s">
        <v>205</v>
      </c>
      <c r="AC2" s="5" t="s">
        <v>206</v>
      </c>
      <c r="AD2" s="5" t="s">
        <v>207</v>
      </c>
      <c r="AE2" s="5" t="s">
        <v>208</v>
      </c>
      <c r="AF2" s="5" t="s">
        <v>209</v>
      </c>
      <c r="AG2" s="5" t="s">
        <v>210</v>
      </c>
      <c r="AH2" s="5" t="s">
        <v>211</v>
      </c>
      <c r="AI2" t="s">
        <v>87</v>
      </c>
    </row>
    <row r="3" spans="1:35" ht="18">
      <c r="A3" s="152">
        <v>1</v>
      </c>
      <c r="B3" s="152" t="s">
        <v>221</v>
      </c>
      <c r="C3" s="152" t="s">
        <v>29</v>
      </c>
      <c r="D3" s="6" t="s">
        <v>102</v>
      </c>
      <c r="E3" s="7"/>
      <c r="F3" s="11">
        <f>COUNTIF(G3:AH3,$AI$3)/28</f>
        <v>0.17857142857142858</v>
      </c>
      <c r="G3" s="12" t="s">
        <v>215</v>
      </c>
      <c r="H3" s="12" t="s">
        <v>215</v>
      </c>
      <c r="I3" s="89" t="s">
        <v>215</v>
      </c>
      <c r="J3" s="89" t="s">
        <v>215</v>
      </c>
      <c r="K3" s="89" t="s">
        <v>215</v>
      </c>
      <c r="L3" s="89" t="s">
        <v>215</v>
      </c>
      <c r="M3" s="89" t="s">
        <v>215</v>
      </c>
      <c r="N3" s="89" t="s">
        <v>216</v>
      </c>
      <c r="O3" s="89" t="s">
        <v>216</v>
      </c>
      <c r="P3" s="89" t="s">
        <v>216</v>
      </c>
      <c r="Q3" s="89" t="s">
        <v>216</v>
      </c>
      <c r="R3" s="89" t="s">
        <v>216</v>
      </c>
      <c r="S3" s="89" t="s">
        <v>215</v>
      </c>
      <c r="T3" s="89" t="s">
        <v>215</v>
      </c>
      <c r="U3" s="89" t="s">
        <v>215</v>
      </c>
      <c r="V3" s="89" t="s">
        <v>215</v>
      </c>
      <c r="W3" s="89" t="s">
        <v>215</v>
      </c>
      <c r="X3" s="89" t="s">
        <v>215</v>
      </c>
      <c r="Y3" s="89" t="s">
        <v>215</v>
      </c>
      <c r="Z3" s="89" t="s">
        <v>215</v>
      </c>
      <c r="AA3" s="89" t="s">
        <v>215</v>
      </c>
      <c r="AB3" s="89" t="s">
        <v>215</v>
      </c>
      <c r="AC3" s="89" t="s">
        <v>215</v>
      </c>
      <c r="AD3" s="89" t="s">
        <v>215</v>
      </c>
      <c r="AE3" s="89" t="s">
        <v>215</v>
      </c>
      <c r="AF3" s="89" t="s">
        <v>215</v>
      </c>
      <c r="AG3" s="89" t="s">
        <v>215</v>
      </c>
      <c r="AH3" s="15"/>
      <c r="AI3" s="12" t="s">
        <v>216</v>
      </c>
    </row>
    <row r="4" spans="1:35" ht="18">
      <c r="A4" s="153"/>
      <c r="B4" s="153"/>
      <c r="C4" s="153"/>
      <c r="D4" s="6" t="s">
        <v>103</v>
      </c>
      <c r="E4" s="7"/>
      <c r="F4" s="11">
        <f t="shared" ref="F4:F21" si="0">COUNTIF(G4:AH4,$AI$3)/28</f>
        <v>0.17857142857142858</v>
      </c>
      <c r="G4" s="12" t="s">
        <v>215</v>
      </c>
      <c r="H4" s="12" t="s">
        <v>215</v>
      </c>
      <c r="I4" s="89" t="s">
        <v>215</v>
      </c>
      <c r="J4" s="89" t="s">
        <v>215</v>
      </c>
      <c r="K4" s="89" t="s">
        <v>215</v>
      </c>
      <c r="L4" s="89" t="s">
        <v>215</v>
      </c>
      <c r="M4" s="89" t="s">
        <v>215</v>
      </c>
      <c r="N4" s="89" t="s">
        <v>216</v>
      </c>
      <c r="O4" s="89" t="s">
        <v>216</v>
      </c>
      <c r="P4" s="89" t="s">
        <v>216</v>
      </c>
      <c r="Q4" s="89" t="s">
        <v>216</v>
      </c>
      <c r="R4" s="89" t="s">
        <v>216</v>
      </c>
      <c r="S4" s="89" t="s">
        <v>215</v>
      </c>
      <c r="T4" s="89" t="s">
        <v>215</v>
      </c>
      <c r="U4" s="89" t="s">
        <v>215</v>
      </c>
      <c r="V4" s="89" t="s">
        <v>215</v>
      </c>
      <c r="W4" s="89" t="s">
        <v>215</v>
      </c>
      <c r="X4" s="89" t="s">
        <v>215</v>
      </c>
      <c r="Y4" s="89" t="s">
        <v>215</v>
      </c>
      <c r="Z4" s="89" t="s">
        <v>215</v>
      </c>
      <c r="AA4" s="89" t="s">
        <v>215</v>
      </c>
      <c r="AB4" s="89" t="s">
        <v>215</v>
      </c>
      <c r="AC4" s="89" t="s">
        <v>215</v>
      </c>
      <c r="AD4" s="89" t="s">
        <v>215</v>
      </c>
      <c r="AE4" s="89" t="s">
        <v>215</v>
      </c>
      <c r="AF4" s="89" t="s">
        <v>215</v>
      </c>
      <c r="AG4" s="89" t="s">
        <v>215</v>
      </c>
      <c r="AH4" s="15"/>
    </row>
    <row r="5" spans="1:35" ht="21" customHeight="1">
      <c r="A5" s="154">
        <v>2</v>
      </c>
      <c r="B5" s="152" t="s">
        <v>222</v>
      </c>
      <c r="C5" s="7" t="s">
        <v>29</v>
      </c>
      <c r="D5" s="6" t="s">
        <v>143</v>
      </c>
      <c r="E5" s="7"/>
      <c r="F5" s="11">
        <f t="shared" si="0"/>
        <v>0</v>
      </c>
      <c r="G5" s="12" t="s">
        <v>215</v>
      </c>
      <c r="H5" s="12" t="s">
        <v>215</v>
      </c>
      <c r="I5" s="89" t="s">
        <v>215</v>
      </c>
      <c r="J5" s="89" t="s">
        <v>215</v>
      </c>
      <c r="K5" s="89" t="s">
        <v>215</v>
      </c>
      <c r="L5" s="89" t="s">
        <v>215</v>
      </c>
      <c r="M5" s="89" t="s">
        <v>215</v>
      </c>
      <c r="N5" s="89" t="s">
        <v>215</v>
      </c>
      <c r="O5" s="89" t="s">
        <v>215</v>
      </c>
      <c r="P5" s="89" t="s">
        <v>215</v>
      </c>
      <c r="Q5" s="89" t="s">
        <v>215</v>
      </c>
      <c r="R5" s="89" t="s">
        <v>215</v>
      </c>
      <c r="S5" s="89" t="s">
        <v>215</v>
      </c>
      <c r="T5" s="89" t="s">
        <v>215</v>
      </c>
      <c r="U5" s="89" t="s">
        <v>215</v>
      </c>
      <c r="V5" s="89" t="s">
        <v>215</v>
      </c>
      <c r="W5" s="89" t="s">
        <v>215</v>
      </c>
      <c r="X5" s="89" t="s">
        <v>215</v>
      </c>
      <c r="Y5" s="89" t="s">
        <v>215</v>
      </c>
      <c r="Z5" s="89" t="s">
        <v>215</v>
      </c>
      <c r="AA5" s="89" t="s">
        <v>215</v>
      </c>
      <c r="AB5" s="89" t="s">
        <v>215</v>
      </c>
      <c r="AC5" s="89" t="s">
        <v>215</v>
      </c>
      <c r="AD5" s="89" t="s">
        <v>215</v>
      </c>
      <c r="AE5" s="89" t="s">
        <v>215</v>
      </c>
      <c r="AF5" s="89" t="s">
        <v>215</v>
      </c>
      <c r="AG5" s="89" t="s">
        <v>215</v>
      </c>
      <c r="AH5" s="15"/>
    </row>
    <row r="6" spans="1:35" ht="23" customHeight="1">
      <c r="A6" s="153"/>
      <c r="B6" s="153"/>
      <c r="C6" s="7" t="s">
        <v>29</v>
      </c>
      <c r="D6" s="6" t="s">
        <v>144</v>
      </c>
      <c r="E6" s="7"/>
      <c r="F6" s="11">
        <f t="shared" si="0"/>
        <v>0</v>
      </c>
      <c r="G6" s="12" t="s">
        <v>215</v>
      </c>
      <c r="H6" s="12" t="s">
        <v>215</v>
      </c>
      <c r="I6" s="89" t="s">
        <v>215</v>
      </c>
      <c r="J6" s="89" t="s">
        <v>215</v>
      </c>
      <c r="K6" s="89" t="s">
        <v>215</v>
      </c>
      <c r="L6" s="89" t="s">
        <v>215</v>
      </c>
      <c r="M6" s="89" t="s">
        <v>215</v>
      </c>
      <c r="N6" s="89" t="s">
        <v>215</v>
      </c>
      <c r="O6" s="89" t="s">
        <v>215</v>
      </c>
      <c r="P6" s="89" t="s">
        <v>215</v>
      </c>
      <c r="Q6" s="89" t="s">
        <v>215</v>
      </c>
      <c r="R6" s="89" t="s">
        <v>215</v>
      </c>
      <c r="S6" s="89" t="s">
        <v>215</v>
      </c>
      <c r="T6" s="89" t="s">
        <v>215</v>
      </c>
      <c r="U6" s="89" t="s">
        <v>215</v>
      </c>
      <c r="V6" s="89" t="s">
        <v>215</v>
      </c>
      <c r="W6" s="89" t="s">
        <v>215</v>
      </c>
      <c r="X6" s="89" t="s">
        <v>215</v>
      </c>
      <c r="Y6" s="89" t="s">
        <v>215</v>
      </c>
      <c r="Z6" s="89" t="s">
        <v>215</v>
      </c>
      <c r="AA6" s="89" t="s">
        <v>215</v>
      </c>
      <c r="AB6" s="89" t="s">
        <v>215</v>
      </c>
      <c r="AC6" s="89" t="s">
        <v>215</v>
      </c>
      <c r="AD6" s="89" t="s">
        <v>215</v>
      </c>
      <c r="AE6" s="89" t="s">
        <v>215</v>
      </c>
      <c r="AF6" s="89" t="s">
        <v>215</v>
      </c>
      <c r="AG6" s="89" t="s">
        <v>215</v>
      </c>
      <c r="AH6" s="15"/>
    </row>
    <row r="7" spans="1:35" ht="18">
      <c r="A7" s="152">
        <v>3</v>
      </c>
      <c r="B7" s="152" t="s">
        <v>146</v>
      </c>
      <c r="C7" s="152" t="s">
        <v>29</v>
      </c>
      <c r="D7" s="6" t="s">
        <v>147</v>
      </c>
      <c r="E7" s="7"/>
      <c r="F7" s="11">
        <f t="shared" si="0"/>
        <v>0</v>
      </c>
      <c r="G7" s="12" t="s">
        <v>215</v>
      </c>
      <c r="H7" s="12" t="s">
        <v>215</v>
      </c>
      <c r="I7" s="89" t="s">
        <v>215</v>
      </c>
      <c r="J7" s="89" t="s">
        <v>215</v>
      </c>
      <c r="K7" s="89" t="s">
        <v>215</v>
      </c>
      <c r="L7" s="89" t="s">
        <v>215</v>
      </c>
      <c r="M7" s="89" t="s">
        <v>215</v>
      </c>
      <c r="N7" s="89" t="s">
        <v>215</v>
      </c>
      <c r="O7" s="89" t="s">
        <v>215</v>
      </c>
      <c r="P7" s="89" t="s">
        <v>215</v>
      </c>
      <c r="Q7" s="89" t="s">
        <v>215</v>
      </c>
      <c r="R7" s="89" t="s">
        <v>215</v>
      </c>
      <c r="S7" s="89" t="s">
        <v>215</v>
      </c>
      <c r="T7" s="89" t="s">
        <v>215</v>
      </c>
      <c r="U7" s="89" t="s">
        <v>215</v>
      </c>
      <c r="V7" s="89" t="s">
        <v>215</v>
      </c>
      <c r="W7" s="89" t="s">
        <v>215</v>
      </c>
      <c r="X7" s="89" t="s">
        <v>215</v>
      </c>
      <c r="Y7" s="89" t="s">
        <v>215</v>
      </c>
      <c r="Z7" s="89" t="s">
        <v>215</v>
      </c>
      <c r="AA7" s="89" t="s">
        <v>215</v>
      </c>
      <c r="AB7" s="89" t="s">
        <v>215</v>
      </c>
      <c r="AC7" s="89" t="s">
        <v>215</v>
      </c>
      <c r="AD7" s="89" t="s">
        <v>215</v>
      </c>
      <c r="AE7" s="89" t="s">
        <v>215</v>
      </c>
      <c r="AF7" s="89" t="s">
        <v>215</v>
      </c>
      <c r="AG7" s="89" t="s">
        <v>215</v>
      </c>
      <c r="AH7" s="15"/>
    </row>
    <row r="8" spans="1:35" ht="18">
      <c r="A8" s="153"/>
      <c r="B8" s="154"/>
      <c r="C8" s="153"/>
      <c r="D8" s="6" t="s">
        <v>148</v>
      </c>
      <c r="E8" s="7"/>
      <c r="F8" s="11">
        <f t="shared" si="0"/>
        <v>0</v>
      </c>
      <c r="G8" s="12" t="s">
        <v>215</v>
      </c>
      <c r="H8" s="12" t="s">
        <v>215</v>
      </c>
      <c r="I8" s="89" t="s">
        <v>215</v>
      </c>
      <c r="J8" s="89" t="s">
        <v>215</v>
      </c>
      <c r="K8" s="89" t="s">
        <v>215</v>
      </c>
      <c r="L8" s="89" t="s">
        <v>215</v>
      </c>
      <c r="M8" s="89" t="s">
        <v>215</v>
      </c>
      <c r="N8" s="89" t="s">
        <v>215</v>
      </c>
      <c r="O8" s="89" t="s">
        <v>215</v>
      </c>
      <c r="P8" s="89" t="s">
        <v>215</v>
      </c>
      <c r="Q8" s="89" t="s">
        <v>215</v>
      </c>
      <c r="R8" s="89" t="s">
        <v>215</v>
      </c>
      <c r="S8" s="89" t="s">
        <v>215</v>
      </c>
      <c r="T8" s="89" t="s">
        <v>215</v>
      </c>
      <c r="U8" s="89" t="s">
        <v>215</v>
      </c>
      <c r="V8" s="89" t="s">
        <v>215</v>
      </c>
      <c r="W8" s="89" t="s">
        <v>215</v>
      </c>
      <c r="X8" s="89" t="s">
        <v>215</v>
      </c>
      <c r="Y8" s="89" t="s">
        <v>215</v>
      </c>
      <c r="Z8" s="89" t="s">
        <v>215</v>
      </c>
      <c r="AA8" s="89" t="s">
        <v>215</v>
      </c>
      <c r="AB8" s="89" t="s">
        <v>215</v>
      </c>
      <c r="AC8" s="89" t="s">
        <v>215</v>
      </c>
      <c r="AD8" s="89" t="s">
        <v>215</v>
      </c>
      <c r="AE8" s="89" t="s">
        <v>215</v>
      </c>
      <c r="AF8" s="89" t="s">
        <v>215</v>
      </c>
      <c r="AG8" s="89" t="s">
        <v>215</v>
      </c>
      <c r="AH8" s="15"/>
    </row>
    <row r="9" spans="1:35" ht="18">
      <c r="A9" s="152">
        <v>4</v>
      </c>
      <c r="B9" s="152" t="s">
        <v>162</v>
      </c>
      <c r="C9" s="152" t="s">
        <v>13</v>
      </c>
      <c r="D9" s="6" t="s">
        <v>218</v>
      </c>
      <c r="E9" s="7"/>
      <c r="F9" s="11">
        <f t="shared" si="0"/>
        <v>3.5714285714285712E-2</v>
      </c>
      <c r="G9" s="12" t="s">
        <v>215</v>
      </c>
      <c r="H9" s="12" t="s">
        <v>215</v>
      </c>
      <c r="I9" s="89" t="s">
        <v>215</v>
      </c>
      <c r="J9" s="89" t="s">
        <v>215</v>
      </c>
      <c r="K9" s="89" t="s">
        <v>215</v>
      </c>
      <c r="L9" s="89" t="s">
        <v>215</v>
      </c>
      <c r="M9" s="89" t="s">
        <v>215</v>
      </c>
      <c r="N9" s="89" t="s">
        <v>215</v>
      </c>
      <c r="O9" s="89" t="s">
        <v>215</v>
      </c>
      <c r="P9" s="89" t="s">
        <v>215</v>
      </c>
      <c r="Q9" s="89" t="s">
        <v>215</v>
      </c>
      <c r="R9" s="89" t="s">
        <v>215</v>
      </c>
      <c r="S9" s="89" t="s">
        <v>216</v>
      </c>
      <c r="T9" s="89" t="s">
        <v>215</v>
      </c>
      <c r="U9" s="89" t="s">
        <v>215</v>
      </c>
      <c r="V9" s="89" t="s">
        <v>215</v>
      </c>
      <c r="W9" s="89" t="s">
        <v>215</v>
      </c>
      <c r="X9" s="89" t="s">
        <v>215</v>
      </c>
      <c r="Y9" s="89" t="s">
        <v>215</v>
      </c>
      <c r="Z9" s="89" t="s">
        <v>215</v>
      </c>
      <c r="AA9" s="89" t="s">
        <v>215</v>
      </c>
      <c r="AB9" s="89" t="s">
        <v>215</v>
      </c>
      <c r="AC9" s="89" t="s">
        <v>215</v>
      </c>
      <c r="AD9" s="89" t="s">
        <v>215</v>
      </c>
      <c r="AE9" s="89" t="s">
        <v>215</v>
      </c>
      <c r="AF9" s="89" t="s">
        <v>215</v>
      </c>
      <c r="AG9" s="89" t="s">
        <v>215</v>
      </c>
      <c r="AH9" s="15"/>
    </row>
    <row r="10" spans="1:35" ht="18">
      <c r="A10" s="154"/>
      <c r="B10" s="154"/>
      <c r="C10" s="154"/>
      <c r="D10" s="8" t="s">
        <v>219</v>
      </c>
      <c r="E10" s="13"/>
      <c r="F10" s="11">
        <f t="shared" si="0"/>
        <v>0.21428571428571427</v>
      </c>
      <c r="G10" s="12" t="s">
        <v>215</v>
      </c>
      <c r="H10" s="12" t="s">
        <v>215</v>
      </c>
      <c r="I10" s="89" t="s">
        <v>215</v>
      </c>
      <c r="J10" s="89" t="s">
        <v>215</v>
      </c>
      <c r="K10" s="89" t="s">
        <v>215</v>
      </c>
      <c r="L10" s="89" t="s">
        <v>215</v>
      </c>
      <c r="M10" s="89" t="s">
        <v>215</v>
      </c>
      <c r="N10" s="89" t="s">
        <v>216</v>
      </c>
      <c r="O10" s="89" t="s">
        <v>216</v>
      </c>
      <c r="P10" s="89" t="s">
        <v>216</v>
      </c>
      <c r="Q10" s="89" t="s">
        <v>216</v>
      </c>
      <c r="R10" s="89" t="s">
        <v>216</v>
      </c>
      <c r="S10" s="89" t="s">
        <v>216</v>
      </c>
      <c r="T10" s="89" t="s">
        <v>215</v>
      </c>
      <c r="U10" s="89" t="s">
        <v>215</v>
      </c>
      <c r="V10" s="89" t="s">
        <v>215</v>
      </c>
      <c r="W10" s="89" t="s">
        <v>215</v>
      </c>
      <c r="X10" s="89" t="s">
        <v>215</v>
      </c>
      <c r="Y10" s="89" t="s">
        <v>215</v>
      </c>
      <c r="Z10" s="89" t="s">
        <v>215</v>
      </c>
      <c r="AA10" s="89" t="s">
        <v>215</v>
      </c>
      <c r="AB10" s="89" t="s">
        <v>215</v>
      </c>
      <c r="AC10" s="89" t="s">
        <v>215</v>
      </c>
      <c r="AD10" s="89" t="s">
        <v>215</v>
      </c>
      <c r="AE10" s="89" t="s">
        <v>215</v>
      </c>
      <c r="AF10" s="89" t="s">
        <v>215</v>
      </c>
      <c r="AG10" s="89" t="s">
        <v>215</v>
      </c>
      <c r="AH10" s="15"/>
    </row>
    <row r="11" spans="1:35" ht="18">
      <c r="A11" s="153"/>
      <c r="B11" s="154"/>
      <c r="C11" s="154"/>
      <c r="D11" s="6" t="s">
        <v>166</v>
      </c>
      <c r="E11" s="13"/>
      <c r="F11" s="11">
        <f t="shared" si="0"/>
        <v>3.5714285714285712E-2</v>
      </c>
      <c r="G11" s="12" t="s">
        <v>215</v>
      </c>
      <c r="H11" s="12" t="s">
        <v>215</v>
      </c>
      <c r="I11" s="89" t="s">
        <v>215</v>
      </c>
      <c r="J11" s="89" t="s">
        <v>215</v>
      </c>
      <c r="K11" s="89" t="s">
        <v>215</v>
      </c>
      <c r="L11" s="89" t="s">
        <v>215</v>
      </c>
      <c r="M11" s="89" t="s">
        <v>215</v>
      </c>
      <c r="N11" s="89" t="s">
        <v>215</v>
      </c>
      <c r="O11" s="89" t="s">
        <v>215</v>
      </c>
      <c r="P11" s="89" t="s">
        <v>215</v>
      </c>
      <c r="Q11" s="89" t="s">
        <v>215</v>
      </c>
      <c r="R11" s="89" t="s">
        <v>215</v>
      </c>
      <c r="S11" s="89" t="s">
        <v>216</v>
      </c>
      <c r="T11" s="89" t="s">
        <v>215</v>
      </c>
      <c r="U11" s="89" t="s">
        <v>215</v>
      </c>
      <c r="V11" s="89" t="s">
        <v>215</v>
      </c>
      <c r="W11" s="89" t="s">
        <v>215</v>
      </c>
      <c r="X11" s="89" t="s">
        <v>215</v>
      </c>
      <c r="Y11" s="89" t="s">
        <v>215</v>
      </c>
      <c r="Z11" s="89" t="s">
        <v>215</v>
      </c>
      <c r="AA11" s="89" t="s">
        <v>215</v>
      </c>
      <c r="AB11" s="89" t="s">
        <v>215</v>
      </c>
      <c r="AC11" s="89" t="s">
        <v>215</v>
      </c>
      <c r="AD11" s="89" t="s">
        <v>215</v>
      </c>
      <c r="AE11" s="89" t="s">
        <v>215</v>
      </c>
      <c r="AF11" s="89" t="s">
        <v>215</v>
      </c>
      <c r="AG11" s="89" t="s">
        <v>215</v>
      </c>
      <c r="AH11" s="15"/>
    </row>
    <row r="12" spans="1:35" ht="18">
      <c r="A12" s="152">
        <v>5</v>
      </c>
      <c r="B12" s="152" t="s">
        <v>171</v>
      </c>
      <c r="C12" s="152" t="s">
        <v>29</v>
      </c>
      <c r="D12" s="6" t="s">
        <v>172</v>
      </c>
      <c r="E12" s="7"/>
      <c r="F12" s="11">
        <f t="shared" si="0"/>
        <v>0</v>
      </c>
      <c r="G12" s="12" t="s">
        <v>215</v>
      </c>
      <c r="H12" s="12" t="s">
        <v>215</v>
      </c>
      <c r="I12" s="89" t="s">
        <v>215</v>
      </c>
      <c r="J12" s="89" t="s">
        <v>215</v>
      </c>
      <c r="K12" s="89" t="s">
        <v>215</v>
      </c>
      <c r="L12" s="89" t="s">
        <v>215</v>
      </c>
      <c r="M12" s="89" t="s">
        <v>215</v>
      </c>
      <c r="N12" s="89" t="s">
        <v>215</v>
      </c>
      <c r="O12" s="89" t="s">
        <v>215</v>
      </c>
      <c r="P12" s="89" t="s">
        <v>215</v>
      </c>
      <c r="Q12" s="89" t="s">
        <v>215</v>
      </c>
      <c r="R12" s="89" t="s">
        <v>215</v>
      </c>
      <c r="S12" s="89" t="s">
        <v>215</v>
      </c>
      <c r="T12" s="89" t="s">
        <v>215</v>
      </c>
      <c r="U12" s="89" t="s">
        <v>215</v>
      </c>
      <c r="V12" s="89" t="s">
        <v>215</v>
      </c>
      <c r="W12" s="89" t="s">
        <v>215</v>
      </c>
      <c r="X12" s="89" t="s">
        <v>215</v>
      </c>
      <c r="Y12" s="89" t="s">
        <v>215</v>
      </c>
      <c r="Z12" s="89" t="s">
        <v>215</v>
      </c>
      <c r="AA12" s="89" t="s">
        <v>215</v>
      </c>
      <c r="AB12" s="89" t="s">
        <v>215</v>
      </c>
      <c r="AC12" s="89" t="s">
        <v>215</v>
      </c>
      <c r="AD12" s="89" t="s">
        <v>215</v>
      </c>
      <c r="AE12" s="89" t="s">
        <v>215</v>
      </c>
      <c r="AF12" s="89" t="s">
        <v>215</v>
      </c>
      <c r="AG12" s="89" t="s">
        <v>215</v>
      </c>
      <c r="AH12" s="15"/>
    </row>
    <row r="13" spans="1:35" ht="18">
      <c r="A13" s="153"/>
      <c r="B13" s="153"/>
      <c r="C13" s="154"/>
      <c r="D13" s="6" t="s">
        <v>173</v>
      </c>
      <c r="E13" s="7"/>
      <c r="F13" s="11">
        <f t="shared" si="0"/>
        <v>0</v>
      </c>
      <c r="G13" s="12" t="s">
        <v>215</v>
      </c>
      <c r="H13" s="12" t="s">
        <v>215</v>
      </c>
      <c r="I13" s="89" t="s">
        <v>215</v>
      </c>
      <c r="J13" s="89" t="s">
        <v>215</v>
      </c>
      <c r="K13" s="89" t="s">
        <v>215</v>
      </c>
      <c r="L13" s="89" t="s">
        <v>215</v>
      </c>
      <c r="M13" s="89" t="s">
        <v>215</v>
      </c>
      <c r="N13" s="89" t="s">
        <v>215</v>
      </c>
      <c r="O13" s="89" t="s">
        <v>215</v>
      </c>
      <c r="P13" s="89" t="s">
        <v>215</v>
      </c>
      <c r="Q13" s="89" t="s">
        <v>215</v>
      </c>
      <c r="R13" s="89" t="s">
        <v>215</v>
      </c>
      <c r="S13" s="89" t="s">
        <v>215</v>
      </c>
      <c r="T13" s="89" t="s">
        <v>215</v>
      </c>
      <c r="U13" s="89" t="s">
        <v>215</v>
      </c>
      <c r="V13" s="89" t="s">
        <v>215</v>
      </c>
      <c r="W13" s="89" t="s">
        <v>215</v>
      </c>
      <c r="X13" s="89" t="s">
        <v>215</v>
      </c>
      <c r="Y13" s="89" t="s">
        <v>215</v>
      </c>
      <c r="Z13" s="89" t="s">
        <v>215</v>
      </c>
      <c r="AA13" s="89" t="s">
        <v>215</v>
      </c>
      <c r="AB13" s="89" t="s">
        <v>215</v>
      </c>
      <c r="AC13" s="89" t="s">
        <v>215</v>
      </c>
      <c r="AD13" s="89" t="s">
        <v>215</v>
      </c>
      <c r="AE13" s="89" t="s">
        <v>215</v>
      </c>
      <c r="AF13" s="89" t="s">
        <v>215</v>
      </c>
      <c r="AG13" s="89" t="s">
        <v>215</v>
      </c>
      <c r="AH13" s="15"/>
    </row>
    <row r="14" spans="1:35" ht="18">
      <c r="A14" s="7">
        <v>6</v>
      </c>
      <c r="B14" s="7" t="s">
        <v>180</v>
      </c>
      <c r="C14" s="7" t="s">
        <v>29</v>
      </c>
      <c r="D14" s="6" t="s">
        <v>220</v>
      </c>
      <c r="E14" s="7"/>
      <c r="F14" s="11">
        <f t="shared" si="0"/>
        <v>0</v>
      </c>
      <c r="G14" s="12" t="s">
        <v>215</v>
      </c>
      <c r="H14" s="12" t="s">
        <v>215</v>
      </c>
      <c r="I14" s="89" t="s">
        <v>215</v>
      </c>
      <c r="J14" s="89" t="s">
        <v>215</v>
      </c>
      <c r="K14" s="89" t="s">
        <v>215</v>
      </c>
      <c r="L14" s="89" t="s">
        <v>215</v>
      </c>
      <c r="M14" s="89" t="s">
        <v>215</v>
      </c>
      <c r="N14" s="89" t="s">
        <v>215</v>
      </c>
      <c r="O14" s="89" t="s">
        <v>215</v>
      </c>
      <c r="P14" s="89" t="s">
        <v>215</v>
      </c>
      <c r="Q14" s="89" t="s">
        <v>215</v>
      </c>
      <c r="R14" s="89" t="s">
        <v>215</v>
      </c>
      <c r="S14" s="89" t="s">
        <v>215</v>
      </c>
      <c r="T14" s="89" t="s">
        <v>215</v>
      </c>
      <c r="U14" s="89" t="s">
        <v>215</v>
      </c>
      <c r="V14" s="89" t="s">
        <v>215</v>
      </c>
      <c r="W14" s="89" t="s">
        <v>215</v>
      </c>
      <c r="X14" s="89" t="s">
        <v>215</v>
      </c>
      <c r="Y14" s="89" t="s">
        <v>215</v>
      </c>
      <c r="Z14" s="89" t="s">
        <v>215</v>
      </c>
      <c r="AA14" s="89" t="s">
        <v>215</v>
      </c>
      <c r="AB14" s="89" t="s">
        <v>215</v>
      </c>
      <c r="AC14" s="89" t="s">
        <v>215</v>
      </c>
      <c r="AD14" s="89" t="s">
        <v>215</v>
      </c>
      <c r="AE14" s="89" t="s">
        <v>215</v>
      </c>
      <c r="AF14" s="89" t="s">
        <v>215</v>
      </c>
      <c r="AG14" s="89" t="s">
        <v>215</v>
      </c>
      <c r="AH14" s="15"/>
    </row>
    <row r="15" spans="1:35" ht="30">
      <c r="A15" s="152">
        <v>7</v>
      </c>
      <c r="B15" s="151" t="s">
        <v>89</v>
      </c>
      <c r="C15" s="151" t="s">
        <v>242</v>
      </c>
      <c r="D15" s="6" t="s">
        <v>90</v>
      </c>
      <c r="E15" s="9"/>
      <c r="F15" s="11">
        <f t="shared" si="0"/>
        <v>0</v>
      </c>
      <c r="G15" s="12" t="s">
        <v>215</v>
      </c>
      <c r="H15" s="12" t="s">
        <v>215</v>
      </c>
      <c r="I15" s="89" t="s">
        <v>215</v>
      </c>
      <c r="J15" s="89" t="s">
        <v>215</v>
      </c>
      <c r="K15" s="89" t="s">
        <v>215</v>
      </c>
      <c r="L15" s="89" t="s">
        <v>215</v>
      </c>
      <c r="M15" s="89" t="s">
        <v>215</v>
      </c>
      <c r="N15" s="89" t="s">
        <v>215</v>
      </c>
      <c r="O15" s="89" t="s">
        <v>215</v>
      </c>
      <c r="P15" s="89" t="s">
        <v>215</v>
      </c>
      <c r="Q15" s="89" t="s">
        <v>215</v>
      </c>
      <c r="R15" s="89" t="s">
        <v>215</v>
      </c>
      <c r="S15" s="89" t="s">
        <v>215</v>
      </c>
      <c r="T15" s="89" t="s">
        <v>215</v>
      </c>
      <c r="U15" s="89" t="s">
        <v>215</v>
      </c>
      <c r="V15" s="89" t="s">
        <v>215</v>
      </c>
      <c r="W15" s="89" t="s">
        <v>215</v>
      </c>
      <c r="X15" s="89" t="s">
        <v>215</v>
      </c>
      <c r="Y15" s="89" t="s">
        <v>215</v>
      </c>
      <c r="Z15" s="89" t="s">
        <v>215</v>
      </c>
      <c r="AA15" s="89" t="s">
        <v>215</v>
      </c>
      <c r="AB15" s="89" t="s">
        <v>215</v>
      </c>
      <c r="AC15" s="89" t="s">
        <v>215</v>
      </c>
      <c r="AD15" s="89" t="s">
        <v>215</v>
      </c>
      <c r="AE15" s="89" t="s">
        <v>215</v>
      </c>
      <c r="AF15" s="89" t="s">
        <v>215</v>
      </c>
      <c r="AG15" s="89" t="s">
        <v>215</v>
      </c>
      <c r="AH15" s="14"/>
    </row>
    <row r="16" spans="1:35" ht="18">
      <c r="A16" s="154"/>
      <c r="B16" s="151"/>
      <c r="C16" s="151"/>
      <c r="D16" s="6" t="s">
        <v>94</v>
      </c>
      <c r="E16" s="9"/>
      <c r="F16" s="11">
        <f t="shared" si="0"/>
        <v>0</v>
      </c>
      <c r="G16" s="12" t="s">
        <v>215</v>
      </c>
      <c r="H16" s="12" t="s">
        <v>215</v>
      </c>
      <c r="I16" s="89" t="s">
        <v>215</v>
      </c>
      <c r="J16" s="89" t="s">
        <v>215</v>
      </c>
      <c r="K16" s="89" t="s">
        <v>215</v>
      </c>
      <c r="L16" s="89" t="s">
        <v>215</v>
      </c>
      <c r="M16" s="89" t="s">
        <v>215</v>
      </c>
      <c r="N16" s="89" t="s">
        <v>215</v>
      </c>
      <c r="O16" s="89" t="s">
        <v>215</v>
      </c>
      <c r="P16" s="89" t="s">
        <v>215</v>
      </c>
      <c r="Q16" s="89" t="s">
        <v>215</v>
      </c>
      <c r="R16" s="89" t="s">
        <v>215</v>
      </c>
      <c r="S16" s="89" t="s">
        <v>215</v>
      </c>
      <c r="T16" s="89" t="s">
        <v>215</v>
      </c>
      <c r="U16" s="89" t="s">
        <v>215</v>
      </c>
      <c r="V16" s="89" t="s">
        <v>215</v>
      </c>
      <c r="W16" s="89" t="s">
        <v>215</v>
      </c>
      <c r="X16" s="89" t="s">
        <v>215</v>
      </c>
      <c r="Y16" s="89" t="s">
        <v>215</v>
      </c>
      <c r="Z16" s="89" t="s">
        <v>215</v>
      </c>
      <c r="AA16" s="89" t="s">
        <v>215</v>
      </c>
      <c r="AB16" s="89" t="s">
        <v>215</v>
      </c>
      <c r="AC16" s="89" t="s">
        <v>215</v>
      </c>
      <c r="AD16" s="89" t="s">
        <v>215</v>
      </c>
      <c r="AE16" s="89" t="s">
        <v>215</v>
      </c>
      <c r="AF16" s="89" t="s">
        <v>215</v>
      </c>
      <c r="AG16" s="89" t="s">
        <v>215</v>
      </c>
      <c r="AH16" s="14"/>
    </row>
    <row r="17" spans="1:34" ht="18">
      <c r="A17" s="154"/>
      <c r="B17" s="151"/>
      <c r="C17" s="151"/>
      <c r="D17" s="6" t="s">
        <v>96</v>
      </c>
      <c r="E17" s="9"/>
      <c r="F17" s="11">
        <f t="shared" si="0"/>
        <v>0</v>
      </c>
      <c r="G17" s="12" t="s">
        <v>215</v>
      </c>
      <c r="H17" s="12" t="s">
        <v>215</v>
      </c>
      <c r="I17" s="89" t="s">
        <v>215</v>
      </c>
      <c r="J17" s="89" t="s">
        <v>215</v>
      </c>
      <c r="K17" s="89" t="s">
        <v>215</v>
      </c>
      <c r="L17" s="89" t="s">
        <v>215</v>
      </c>
      <c r="M17" s="89" t="s">
        <v>215</v>
      </c>
      <c r="N17" s="89" t="s">
        <v>215</v>
      </c>
      <c r="O17" s="89" t="s">
        <v>215</v>
      </c>
      <c r="P17" s="89" t="s">
        <v>215</v>
      </c>
      <c r="Q17" s="89" t="s">
        <v>215</v>
      </c>
      <c r="R17" s="89" t="s">
        <v>215</v>
      </c>
      <c r="S17" s="89" t="s">
        <v>215</v>
      </c>
      <c r="T17" s="89" t="s">
        <v>215</v>
      </c>
      <c r="U17" s="89" t="s">
        <v>215</v>
      </c>
      <c r="V17" s="89" t="s">
        <v>215</v>
      </c>
      <c r="W17" s="89" t="s">
        <v>215</v>
      </c>
      <c r="X17" s="89" t="s">
        <v>215</v>
      </c>
      <c r="Y17" s="89" t="s">
        <v>215</v>
      </c>
      <c r="Z17" s="89" t="s">
        <v>215</v>
      </c>
      <c r="AA17" s="89" t="s">
        <v>215</v>
      </c>
      <c r="AB17" s="89" t="s">
        <v>215</v>
      </c>
      <c r="AC17" s="89" t="s">
        <v>215</v>
      </c>
      <c r="AD17" s="89" t="s">
        <v>215</v>
      </c>
      <c r="AE17" s="89" t="s">
        <v>215</v>
      </c>
      <c r="AF17" s="89" t="s">
        <v>215</v>
      </c>
      <c r="AG17" s="89" t="s">
        <v>215</v>
      </c>
      <c r="AH17" s="14"/>
    </row>
    <row r="18" spans="1:34" ht="18">
      <c r="A18" s="153"/>
      <c r="B18" s="151"/>
      <c r="C18" s="151"/>
      <c r="D18" s="6" t="s">
        <v>97</v>
      </c>
      <c r="E18" s="9"/>
      <c r="F18" s="11">
        <f t="shared" si="0"/>
        <v>0</v>
      </c>
      <c r="G18" s="12" t="s">
        <v>215</v>
      </c>
      <c r="H18" s="12" t="s">
        <v>215</v>
      </c>
      <c r="I18" s="89" t="s">
        <v>215</v>
      </c>
      <c r="J18" s="89" t="s">
        <v>215</v>
      </c>
      <c r="K18" s="89" t="s">
        <v>215</v>
      </c>
      <c r="L18" s="89" t="s">
        <v>215</v>
      </c>
      <c r="M18" s="89" t="s">
        <v>215</v>
      </c>
      <c r="N18" s="89" t="s">
        <v>215</v>
      </c>
      <c r="O18" s="89" t="s">
        <v>215</v>
      </c>
      <c r="P18" s="89" t="s">
        <v>215</v>
      </c>
      <c r="Q18" s="89" t="s">
        <v>215</v>
      </c>
      <c r="R18" s="89" t="s">
        <v>215</v>
      </c>
      <c r="S18" s="89" t="s">
        <v>215</v>
      </c>
      <c r="T18" s="89" t="s">
        <v>215</v>
      </c>
      <c r="U18" s="89" t="s">
        <v>215</v>
      </c>
      <c r="V18" s="89" t="s">
        <v>215</v>
      </c>
      <c r="W18" s="89" t="s">
        <v>215</v>
      </c>
      <c r="X18" s="89" t="s">
        <v>215</v>
      </c>
      <c r="Y18" s="89" t="s">
        <v>215</v>
      </c>
      <c r="Z18" s="89" t="s">
        <v>215</v>
      </c>
      <c r="AA18" s="89" t="s">
        <v>215</v>
      </c>
      <c r="AB18" s="89" t="s">
        <v>215</v>
      </c>
      <c r="AC18" s="89" t="s">
        <v>215</v>
      </c>
      <c r="AD18" s="89" t="s">
        <v>215</v>
      </c>
      <c r="AE18" s="89" t="s">
        <v>215</v>
      </c>
      <c r="AF18" s="89" t="s">
        <v>215</v>
      </c>
      <c r="AG18" s="89" t="s">
        <v>215</v>
      </c>
      <c r="AH18" s="14"/>
    </row>
    <row r="19" spans="1:34" ht="18">
      <c r="A19" s="152">
        <v>8</v>
      </c>
      <c r="B19" s="151" t="s">
        <v>106</v>
      </c>
      <c r="C19" s="151" t="s">
        <v>8</v>
      </c>
      <c r="D19" s="6" t="s">
        <v>107</v>
      </c>
      <c r="E19" s="9"/>
      <c r="F19" s="11">
        <f t="shared" si="0"/>
        <v>0</v>
      </c>
      <c r="G19" s="12" t="s">
        <v>215</v>
      </c>
      <c r="H19" s="12" t="s">
        <v>215</v>
      </c>
      <c r="I19" s="89" t="s">
        <v>215</v>
      </c>
      <c r="J19" s="89" t="s">
        <v>215</v>
      </c>
      <c r="K19" s="89" t="s">
        <v>215</v>
      </c>
      <c r="L19" s="89" t="s">
        <v>215</v>
      </c>
      <c r="M19" s="89" t="s">
        <v>215</v>
      </c>
      <c r="N19" s="89" t="s">
        <v>215</v>
      </c>
      <c r="O19" s="89" t="s">
        <v>215</v>
      </c>
      <c r="P19" s="89" t="s">
        <v>215</v>
      </c>
      <c r="Q19" s="89" t="s">
        <v>215</v>
      </c>
      <c r="R19" s="89" t="s">
        <v>215</v>
      </c>
      <c r="S19" s="89" t="s">
        <v>215</v>
      </c>
      <c r="T19" s="89" t="s">
        <v>215</v>
      </c>
      <c r="U19" s="89" t="s">
        <v>215</v>
      </c>
      <c r="V19" s="89" t="s">
        <v>215</v>
      </c>
      <c r="W19" s="89" t="s">
        <v>215</v>
      </c>
      <c r="X19" s="89" t="s">
        <v>215</v>
      </c>
      <c r="Y19" s="89" t="s">
        <v>215</v>
      </c>
      <c r="Z19" s="89" t="s">
        <v>215</v>
      </c>
      <c r="AA19" s="89" t="s">
        <v>215</v>
      </c>
      <c r="AB19" s="89" t="s">
        <v>215</v>
      </c>
      <c r="AC19" s="89" t="s">
        <v>215</v>
      </c>
      <c r="AD19" s="89" t="s">
        <v>215</v>
      </c>
      <c r="AE19" s="89" t="s">
        <v>215</v>
      </c>
      <c r="AF19" s="89" t="s">
        <v>215</v>
      </c>
      <c r="AG19" s="89" t="s">
        <v>215</v>
      </c>
      <c r="AH19" s="14"/>
    </row>
    <row r="20" spans="1:34" ht="18">
      <c r="A20" s="154"/>
      <c r="B20" s="151"/>
      <c r="C20" s="151"/>
      <c r="D20" s="6" t="s">
        <v>108</v>
      </c>
      <c r="E20" s="9"/>
      <c r="F20" s="11">
        <f t="shared" si="0"/>
        <v>0</v>
      </c>
      <c r="G20" s="12" t="s">
        <v>215</v>
      </c>
      <c r="H20" s="12" t="s">
        <v>215</v>
      </c>
      <c r="I20" s="89" t="s">
        <v>215</v>
      </c>
      <c r="J20" s="89" t="s">
        <v>215</v>
      </c>
      <c r="K20" s="89" t="s">
        <v>215</v>
      </c>
      <c r="L20" s="89" t="s">
        <v>215</v>
      </c>
      <c r="M20" s="89" t="s">
        <v>215</v>
      </c>
      <c r="N20" s="89" t="s">
        <v>215</v>
      </c>
      <c r="O20" s="89" t="s">
        <v>215</v>
      </c>
      <c r="P20" s="89" t="s">
        <v>215</v>
      </c>
      <c r="Q20" s="89" t="s">
        <v>215</v>
      </c>
      <c r="R20" s="89" t="s">
        <v>215</v>
      </c>
      <c r="S20" s="89" t="s">
        <v>215</v>
      </c>
      <c r="T20" s="89" t="s">
        <v>215</v>
      </c>
      <c r="U20" s="89" t="s">
        <v>215</v>
      </c>
      <c r="V20" s="89" t="s">
        <v>215</v>
      </c>
      <c r="W20" s="89" t="s">
        <v>215</v>
      </c>
      <c r="X20" s="89" t="s">
        <v>215</v>
      </c>
      <c r="Y20" s="89" t="s">
        <v>215</v>
      </c>
      <c r="Z20" s="89" t="s">
        <v>215</v>
      </c>
      <c r="AA20" s="89" t="s">
        <v>215</v>
      </c>
      <c r="AB20" s="89" t="s">
        <v>215</v>
      </c>
      <c r="AC20" s="89" t="s">
        <v>215</v>
      </c>
      <c r="AD20" s="89" t="s">
        <v>215</v>
      </c>
      <c r="AE20" s="89" t="s">
        <v>215</v>
      </c>
      <c r="AF20" s="89" t="s">
        <v>215</v>
      </c>
      <c r="AG20" s="89" t="s">
        <v>215</v>
      </c>
      <c r="AH20" s="14"/>
    </row>
    <row r="21" spans="1:34" ht="18">
      <c r="A21" s="153"/>
      <c r="B21" s="151"/>
      <c r="C21" s="151"/>
      <c r="D21" s="6" t="s">
        <v>109</v>
      </c>
      <c r="E21" s="9"/>
      <c r="F21" s="11">
        <f t="shared" si="0"/>
        <v>0</v>
      </c>
      <c r="G21" s="12" t="s">
        <v>215</v>
      </c>
      <c r="H21" s="12" t="s">
        <v>215</v>
      </c>
      <c r="I21" s="89" t="s">
        <v>215</v>
      </c>
      <c r="J21" s="89" t="s">
        <v>215</v>
      </c>
      <c r="K21" s="89" t="s">
        <v>215</v>
      </c>
      <c r="L21" s="89" t="s">
        <v>215</v>
      </c>
      <c r="M21" s="89" t="s">
        <v>215</v>
      </c>
      <c r="N21" s="89" t="s">
        <v>215</v>
      </c>
      <c r="O21" s="89" t="s">
        <v>215</v>
      </c>
      <c r="P21" s="89" t="s">
        <v>215</v>
      </c>
      <c r="Q21" s="89" t="s">
        <v>215</v>
      </c>
      <c r="R21" s="89" t="s">
        <v>215</v>
      </c>
      <c r="S21" s="89" t="s">
        <v>215</v>
      </c>
      <c r="T21" s="89" t="s">
        <v>215</v>
      </c>
      <c r="U21" s="89" t="s">
        <v>215</v>
      </c>
      <c r="V21" s="89" t="s">
        <v>215</v>
      </c>
      <c r="W21" s="89" t="s">
        <v>215</v>
      </c>
      <c r="X21" s="89" t="s">
        <v>215</v>
      </c>
      <c r="Y21" s="89" t="s">
        <v>215</v>
      </c>
      <c r="Z21" s="89" t="s">
        <v>215</v>
      </c>
      <c r="AA21" s="89" t="s">
        <v>215</v>
      </c>
      <c r="AB21" s="89" t="s">
        <v>215</v>
      </c>
      <c r="AC21" s="89" t="s">
        <v>215</v>
      </c>
      <c r="AD21" s="89" t="s">
        <v>215</v>
      </c>
      <c r="AE21" s="89" t="s">
        <v>215</v>
      </c>
      <c r="AF21" s="89" t="s">
        <v>215</v>
      </c>
      <c r="AG21" s="89" t="s">
        <v>215</v>
      </c>
      <c r="AH21" s="14"/>
    </row>
    <row r="22" spans="1:34" ht="18">
      <c r="A22" s="104">
        <v>9</v>
      </c>
      <c r="B22" s="104" t="s">
        <v>241</v>
      </c>
      <c r="C22" s="104" t="s">
        <v>242</v>
      </c>
      <c r="D22" s="6" t="s">
        <v>243</v>
      </c>
      <c r="E22" s="104"/>
      <c r="F22" s="11">
        <f>COUNTIF(G22:AH22,$AI$3)/15</f>
        <v>0.13333333333333333</v>
      </c>
      <c r="G22" s="22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89" t="s">
        <v>216</v>
      </c>
      <c r="U22" s="89" t="s">
        <v>216</v>
      </c>
      <c r="V22" s="89" t="s">
        <v>215</v>
      </c>
      <c r="W22" s="89" t="s">
        <v>215</v>
      </c>
      <c r="X22" s="89" t="s">
        <v>215</v>
      </c>
      <c r="Y22" s="89" t="s">
        <v>215</v>
      </c>
      <c r="Z22" s="89" t="s">
        <v>215</v>
      </c>
      <c r="AA22" s="89" t="s">
        <v>215</v>
      </c>
      <c r="AB22" s="89" t="s">
        <v>215</v>
      </c>
      <c r="AC22" s="89" t="s">
        <v>215</v>
      </c>
      <c r="AD22" s="89" t="s">
        <v>215</v>
      </c>
      <c r="AE22" s="89" t="s">
        <v>215</v>
      </c>
      <c r="AF22" s="89" t="s">
        <v>215</v>
      </c>
      <c r="AG22" s="89" t="s">
        <v>215</v>
      </c>
      <c r="AH22" s="15"/>
    </row>
  </sheetData>
  <mergeCells count="21">
    <mergeCell ref="B12:B13"/>
    <mergeCell ref="C12:C13"/>
    <mergeCell ref="C15:C18"/>
    <mergeCell ref="C19:C21"/>
    <mergeCell ref="A12:A13"/>
    <mergeCell ref="A15:A18"/>
    <mergeCell ref="A19:A21"/>
    <mergeCell ref="B15:B18"/>
    <mergeCell ref="B19:B21"/>
    <mergeCell ref="A1:F1"/>
    <mergeCell ref="A3:A4"/>
    <mergeCell ref="A5:A6"/>
    <mergeCell ref="A7:A8"/>
    <mergeCell ref="A9:A11"/>
    <mergeCell ref="C3:C4"/>
    <mergeCell ref="C7:C8"/>
    <mergeCell ref="C9:C11"/>
    <mergeCell ref="B3:B4"/>
    <mergeCell ref="B5:B6"/>
    <mergeCell ref="B7:B8"/>
    <mergeCell ref="B9:B11"/>
  </mergeCells>
  <phoneticPr fontId="13" type="noConversion"/>
  <conditionalFormatting sqref="F3:F22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{8F498BE9-04E0-4241-BF40-6FFB27921CE4}</x14:id>
        </ext>
      </extLst>
    </cfRule>
  </conditionalFormatting>
  <pageMargins left="0.75" right="0.75" top="1" bottom="1" header="0.51180555555555596" footer="0.51180555555555596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498BE9-04E0-4241-BF40-6FFB27921C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F3:F22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2022书单表</vt:lpstr>
      <vt:lpstr>2022影单表</vt:lpstr>
      <vt:lpstr>女团计划表</vt:lpstr>
      <vt:lpstr>社交计划表</vt:lpstr>
      <vt:lpstr>2022年度计划表</vt:lpstr>
      <vt:lpstr>1月计划表</vt:lpstr>
      <vt:lpstr>2月计划表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kayla</dc:creator>
  <cp:lastModifiedBy>Microsoft Office User</cp:lastModifiedBy>
  <dcterms:created xsi:type="dcterms:W3CDTF">2022-01-05T20:06:00Z</dcterms:created>
  <dcterms:modified xsi:type="dcterms:W3CDTF">2022-02-28T13:50:44Z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